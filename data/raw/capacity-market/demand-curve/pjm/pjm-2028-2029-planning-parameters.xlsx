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orp\shares\home\Bachut\My Documents\"/>
    </mc:Choice>
  </mc:AlternateContent>
  <xr:revisionPtr revIDLastSave="0" documentId="13_ncr:1_{36D89B10-DE04-4288-86D0-CBC2F680632F}" xr6:coauthVersionLast="47" xr6:coauthVersionMax="47" xr10:uidLastSave="{00000000-0000-0000-0000-000000000000}"/>
  <bookViews>
    <workbookView xWindow="-120" yWindow="-120" windowWidth="29040" windowHeight="15720" xr2:uid="{9871BBBA-219C-4648-AC3F-BCEBC45A18C6}"/>
  </bookViews>
  <sheets>
    <sheet name="Planning Parameters" sheetId="2" r:id="rId1"/>
    <sheet name="Net CONE" sheetId="4" r:id="rId2"/>
    <sheet name="Key Transmission Upgrades" sheetId="6" r:id="rId3"/>
  </sheets>
  <definedNames>
    <definedName name="Price_Ca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4" l="1"/>
  <c r="B15" i="2"/>
  <c r="H41" i="4" l="1"/>
  <c r="H40" i="4"/>
  <c r="H31" i="4"/>
  <c r="H32" i="4"/>
  <c r="H33" i="4"/>
  <c r="H34" i="4"/>
  <c r="H35" i="4"/>
  <c r="H36" i="4"/>
  <c r="H37" i="4"/>
  <c r="H38" i="4"/>
  <c r="H30" i="4"/>
  <c r="H26" i="4"/>
  <c r="H27" i="4"/>
  <c r="H28" i="4"/>
  <c r="H25" i="4"/>
  <c r="H22" i="4"/>
  <c r="H23" i="4"/>
  <c r="H21" i="4"/>
  <c r="H14" i="4"/>
  <c r="H15" i="4"/>
  <c r="H16" i="4"/>
  <c r="H17" i="4"/>
  <c r="H18" i="4"/>
  <c r="H19" i="4"/>
  <c r="H13" i="4"/>
  <c r="E41" i="4"/>
  <c r="E39" i="4"/>
  <c r="E29" i="4"/>
  <c r="E24" i="4"/>
  <c r="E20" i="4"/>
  <c r="E12" i="4"/>
  <c r="R20" i="2" l="1"/>
  <c r="Q20" i="2"/>
  <c r="P20" i="2"/>
  <c r="O20" i="2"/>
  <c r="N20" i="2"/>
  <c r="M20" i="2"/>
  <c r="L20" i="2"/>
  <c r="K20" i="2"/>
  <c r="J20" i="2"/>
  <c r="I20" i="2"/>
  <c r="H20" i="2"/>
  <c r="G20" i="2"/>
  <c r="F20" i="2"/>
  <c r="E20" i="2"/>
  <c r="D20" i="2"/>
  <c r="C20" i="2"/>
  <c r="B20" i="2"/>
  <c r="B19" i="2"/>
  <c r="F41" i="4"/>
  <c r="B41" i="4"/>
  <c r="I40" i="4"/>
  <c r="G40" i="4"/>
  <c r="G41" i="4" s="1"/>
  <c r="E40" i="4"/>
  <c r="L19" i="2" s="1"/>
  <c r="D39" i="4"/>
  <c r="G38" i="4"/>
  <c r="G37" i="4"/>
  <c r="I36" i="4"/>
  <c r="G36" i="4"/>
  <c r="G35" i="4"/>
  <c r="G34" i="4"/>
  <c r="I33" i="4"/>
  <c r="G33" i="4"/>
  <c r="G32" i="4"/>
  <c r="G31" i="4"/>
  <c r="I30" i="4"/>
  <c r="G30" i="4"/>
  <c r="D29" i="4"/>
  <c r="I35" i="4" s="1"/>
  <c r="F28" i="4"/>
  <c r="I27" i="4"/>
  <c r="G27" i="4"/>
  <c r="G28" i="4" s="1"/>
  <c r="G26" i="4"/>
  <c r="G25" i="4"/>
  <c r="D24" i="4"/>
  <c r="I25" i="4" s="1"/>
  <c r="I23" i="4"/>
  <c r="F23" i="4"/>
  <c r="I22" i="4"/>
  <c r="G22" i="4"/>
  <c r="I21" i="4"/>
  <c r="G21" i="4"/>
  <c r="G23" i="4" s="1"/>
  <c r="E23" i="4"/>
  <c r="E19" i="2" s="1"/>
  <c r="D20" i="4"/>
  <c r="F19" i="4"/>
  <c r="G18" i="4"/>
  <c r="I17" i="4"/>
  <c r="G17" i="4"/>
  <c r="I16" i="4"/>
  <c r="G16" i="4"/>
  <c r="G15" i="4"/>
  <c r="I14" i="4"/>
  <c r="G14" i="4"/>
  <c r="I13" i="4"/>
  <c r="G13" i="4"/>
  <c r="G19" i="4" s="1"/>
  <c r="D12" i="4"/>
  <c r="I19" i="4" s="1"/>
  <c r="J80" i="2"/>
  <c r="J78" i="2"/>
  <c r="J77" i="2"/>
  <c r="D77" i="2"/>
  <c r="J76" i="2"/>
  <c r="D76" i="2"/>
  <c r="K75" i="2"/>
  <c r="G75" i="2"/>
  <c r="H75" i="2" s="1"/>
  <c r="K74" i="2"/>
  <c r="G74" i="2"/>
  <c r="D74" i="2"/>
  <c r="K73" i="2"/>
  <c r="G73" i="2"/>
  <c r="H73" i="2" s="1"/>
  <c r="D73" i="2"/>
  <c r="G72" i="2"/>
  <c r="H72" i="2" s="1"/>
  <c r="D72" i="2"/>
  <c r="K71" i="2"/>
  <c r="G71" i="2"/>
  <c r="H71" i="2" s="1"/>
  <c r="D71" i="2"/>
  <c r="K70" i="2"/>
  <c r="G70" i="2"/>
  <c r="H70" i="2" s="1"/>
  <c r="D70" i="2"/>
  <c r="G69" i="2"/>
  <c r="H69" i="2" s="1"/>
  <c r="D69" i="2"/>
  <c r="K68" i="2"/>
  <c r="G68" i="2"/>
  <c r="H68" i="2" s="1"/>
  <c r="K67" i="2"/>
  <c r="D67" i="2"/>
  <c r="G66" i="2"/>
  <c r="H66" i="2" s="1"/>
  <c r="D66" i="2"/>
  <c r="K65" i="2"/>
  <c r="G65" i="2"/>
  <c r="H65" i="2" s="1"/>
  <c r="D65" i="2"/>
  <c r="K64" i="2"/>
  <c r="D64" i="2"/>
  <c r="K63" i="2"/>
  <c r="G63" i="2"/>
  <c r="H63" i="2" s="1"/>
  <c r="D63" i="2"/>
  <c r="K62" i="2"/>
  <c r="G62" i="2"/>
  <c r="H62" i="2" s="1"/>
  <c r="D62" i="2"/>
  <c r="K61" i="2"/>
  <c r="G61" i="2"/>
  <c r="H61" i="2" s="1"/>
  <c r="D61" i="2"/>
  <c r="K60" i="2"/>
  <c r="G60" i="2"/>
  <c r="H60" i="2" s="1"/>
  <c r="D60" i="2"/>
  <c r="K59" i="2"/>
  <c r="G59" i="2"/>
  <c r="H59" i="2" s="1"/>
  <c r="D59" i="2"/>
  <c r="K58" i="2"/>
  <c r="G58" i="2"/>
  <c r="H58" i="2" s="1"/>
  <c r="D58" i="2"/>
  <c r="G57" i="2"/>
  <c r="H57" i="2" s="1"/>
  <c r="D57" i="2"/>
  <c r="K56" i="2"/>
  <c r="D56" i="2"/>
  <c r="K55" i="2"/>
  <c r="G55" i="2"/>
  <c r="H55" i="2" s="1"/>
  <c r="D55" i="2"/>
  <c r="K54" i="2"/>
  <c r="G54" i="2"/>
  <c r="H54" i="2" s="1"/>
  <c r="D54" i="2"/>
  <c r="K53" i="2"/>
  <c r="G53" i="2"/>
  <c r="D53" i="2"/>
  <c r="K52" i="2"/>
  <c r="G52" i="2"/>
  <c r="H52" i="2" s="1"/>
  <c r="D52" i="2"/>
  <c r="J51" i="2"/>
  <c r="B16" i="2" s="1"/>
  <c r="B17" i="2" s="1"/>
  <c r="E51" i="2"/>
  <c r="E30" i="2"/>
  <c r="D30" i="2"/>
  <c r="R16" i="2"/>
  <c r="R17" i="2" s="1"/>
  <c r="R18" i="2" s="1"/>
  <c r="Q16" i="2"/>
  <c r="Q17" i="2" s="1"/>
  <c r="P16" i="2"/>
  <c r="P17" i="2" s="1"/>
  <c r="P18" i="2" s="1"/>
  <c r="O16" i="2"/>
  <c r="O17" i="2" s="1"/>
  <c r="O18" i="2" s="1"/>
  <c r="N16" i="2"/>
  <c r="N17" i="2" s="1"/>
  <c r="N18" i="2" s="1"/>
  <c r="M16" i="2"/>
  <c r="M17" i="2" s="1"/>
  <c r="L16" i="2"/>
  <c r="L17" i="2" s="1"/>
  <c r="L18" i="2" s="1"/>
  <c r="K16" i="2"/>
  <c r="K17" i="2" s="1"/>
  <c r="K18" i="2" s="1"/>
  <c r="J16" i="2"/>
  <c r="J17" i="2" s="1"/>
  <c r="J18" i="2" s="1"/>
  <c r="I16" i="2"/>
  <c r="I17" i="2" s="1"/>
  <c r="H16" i="2"/>
  <c r="H17" i="2" s="1"/>
  <c r="H18" i="2" s="1"/>
  <c r="G16" i="2"/>
  <c r="G17" i="2" s="1"/>
  <c r="G18" i="2" s="1"/>
  <c r="F16" i="2"/>
  <c r="F17" i="2" s="1"/>
  <c r="F18" i="2" s="1"/>
  <c r="Q46" i="2"/>
  <c r="M46" i="2"/>
  <c r="E46" i="2"/>
  <c r="E16" i="2" l="1"/>
  <c r="E17" i="2" s="1"/>
  <c r="C30" i="2"/>
  <c r="B30" i="2" s="1"/>
  <c r="J79" i="2"/>
  <c r="C16" i="2" s="1"/>
  <c r="C17" i="2" s="1"/>
  <c r="D16" i="2"/>
  <c r="D17" i="2" s="1"/>
  <c r="L42" i="2"/>
  <c r="B42" i="2"/>
  <c r="I15" i="4"/>
  <c r="I18" i="4"/>
  <c r="E22" i="4"/>
  <c r="I19" i="2" s="1"/>
  <c r="I42" i="2" s="1"/>
  <c r="I31" i="4"/>
  <c r="I34" i="4"/>
  <c r="I37" i="4"/>
  <c r="D41" i="4"/>
  <c r="E21" i="4"/>
  <c r="M19" i="2" s="1"/>
  <c r="I32" i="4"/>
  <c r="I38" i="4"/>
  <c r="I26" i="4"/>
  <c r="D46" i="2"/>
  <c r="D18" i="2" s="1"/>
  <c r="I18" i="2"/>
  <c r="H53" i="2"/>
  <c r="F51" i="2"/>
  <c r="C46" i="2"/>
  <c r="I51" i="2"/>
  <c r="B18" i="2" s="1"/>
  <c r="G56" i="2"/>
  <c r="K72" i="2"/>
  <c r="K66" i="2"/>
  <c r="K69" i="2"/>
  <c r="K57" i="2"/>
  <c r="E18" i="2"/>
  <c r="Q18" i="2"/>
  <c r="G67" i="2"/>
  <c r="H67" i="2" s="1"/>
  <c r="M18" i="2"/>
  <c r="G64" i="2"/>
  <c r="E42" i="2"/>
  <c r="C18" i="2" l="1"/>
  <c r="M42" i="2"/>
  <c r="K51" i="2"/>
  <c r="I41" i="4"/>
  <c r="E36" i="4"/>
  <c r="Q19" i="2" s="1"/>
  <c r="E33" i="4"/>
  <c r="O19" i="2" s="1"/>
  <c r="E30" i="4"/>
  <c r="E38" i="4"/>
  <c r="E35" i="4"/>
  <c r="E32" i="4"/>
  <c r="E37" i="4"/>
  <c r="E34" i="4"/>
  <c r="P19" i="2" s="1"/>
  <c r="E31" i="4"/>
  <c r="E13" i="4"/>
  <c r="E17" i="4"/>
  <c r="E14" i="4"/>
  <c r="H19" i="2" s="1"/>
  <c r="E16" i="4"/>
  <c r="E18" i="4"/>
  <c r="E19" i="4"/>
  <c r="D19" i="2" s="1"/>
  <c r="E15" i="4"/>
  <c r="R19" i="2" s="1"/>
  <c r="E27" i="4"/>
  <c r="N19" i="2" s="1"/>
  <c r="E26" i="4"/>
  <c r="E25" i="4"/>
  <c r="G51" i="2"/>
  <c r="Q42" i="2" l="1"/>
  <c r="J19" i="2"/>
  <c r="K19" i="2"/>
  <c r="P42" i="2"/>
  <c r="O42" i="2"/>
  <c r="N42" i="2"/>
  <c r="E28" i="4"/>
  <c r="C19" i="2" s="1"/>
  <c r="H42" i="2"/>
  <c r="R42" i="2"/>
  <c r="D42" i="2"/>
  <c r="G19" i="2"/>
  <c r="F19" i="2"/>
  <c r="K42" i="2" l="1"/>
  <c r="J42" i="2"/>
  <c r="C42" i="2"/>
  <c r="F42" i="2"/>
  <c r="G42" i="2"/>
</calcChain>
</file>

<file path=xl/sharedStrings.xml><?xml version="1.0" encoding="utf-8"?>
<sst xmlns="http://schemas.openxmlformats.org/spreadsheetml/2006/main" count="543" uniqueCount="201">
  <si>
    <t>2028/2029 RPM Base Residual Auction Planning Parameters</t>
  </si>
  <si>
    <t xml:space="preserve"> </t>
  </si>
  <si>
    <t>RTO</t>
  </si>
  <si>
    <t>Notes:</t>
  </si>
  <si>
    <t xml:space="preserve">Installed Reserve Margin (IRM) </t>
  </si>
  <si>
    <t>endorsed at the February 19, 2026 MRC meeting. See:https://www.pjm.com/-/media/DotCom/committees-groups/committees/mrc/2026/20260219/20260219-item-01---1-2028-2029-bra-fpr--irm---presentation.pdf</t>
  </si>
  <si>
    <t>Pool-Wide Accredited UCAP Factor</t>
  </si>
  <si>
    <t>endorsed at the February 19, 2026 MRC meeting.</t>
  </si>
  <si>
    <t>Reference Resource AUCAP Factor</t>
  </si>
  <si>
    <t>Forecast Pool Requirement (FPR)</t>
  </si>
  <si>
    <t>Preliminary Forecast Peak Load</t>
  </si>
  <si>
    <t>2026 Load Report with adjustments for load served outside PJM.</t>
  </si>
  <si>
    <t>Locational Deliverability Area</t>
  </si>
  <si>
    <t>MAAC</t>
  </si>
  <si>
    <t>EMAAC</t>
  </si>
  <si>
    <t>SWMAAC</t>
  </si>
  <si>
    <t>PS</t>
  </si>
  <si>
    <t>PS NORTH</t>
  </si>
  <si>
    <t>DPL SOUTH</t>
  </si>
  <si>
    <t>PEPCO</t>
  </si>
  <si>
    <t>ATSI</t>
  </si>
  <si>
    <t>ATSI-Cleveland</t>
  </si>
  <si>
    <t>COMED</t>
  </si>
  <si>
    <t>BGE</t>
  </si>
  <si>
    <t>PL</t>
  </si>
  <si>
    <t>DAYTON</t>
  </si>
  <si>
    <t>DEOK</t>
  </si>
  <si>
    <t>DOM</t>
  </si>
  <si>
    <t>JCPL</t>
  </si>
  <si>
    <t>CETO</t>
  </si>
  <si>
    <t>NA</t>
  </si>
  <si>
    <t>CETL</t>
  </si>
  <si>
    <t>Reliability Requirement</t>
  </si>
  <si>
    <t>Total Peak Load of FRR Entities</t>
  </si>
  <si>
    <t>Preliminary FRR Obligation</t>
  </si>
  <si>
    <t>Reliability Requirement adjusted for FRR</t>
  </si>
  <si>
    <t>Gross CONE, $/MW-Day (UCAP Price)</t>
  </si>
  <si>
    <t>E&amp;AS Value, $/MW-Day (UCAP Price)</t>
  </si>
  <si>
    <t>Variable Resource Requirement Curve:</t>
  </si>
  <si>
    <t>Point (a) UCAP Price, $/MW-Day</t>
  </si>
  <si>
    <t>Point (b) UCAP Price, $/MW-Day</t>
  </si>
  <si>
    <t>Point (c) UCAP Price, $/MW-Day</t>
  </si>
  <si>
    <t>Point (a) UCAP Level, MW</t>
  </si>
  <si>
    <t>Point (b) UCAP Level, MW</t>
  </si>
  <si>
    <t>Point (c) UCAP Level, MW</t>
  </si>
  <si>
    <t>Nominated PRD Value, MW</t>
  </si>
  <si>
    <t>VRR Curve adjusted for PRD:</t>
  </si>
  <si>
    <t>Point (a1) UCAP Price, $/MW-Day</t>
  </si>
  <si>
    <t>Point (b1) UCAP Price, $/MW-Day</t>
  </si>
  <si>
    <t>Point (prd1) UCAP Price, $/MW-Day</t>
  </si>
  <si>
    <t>Point (prd2) UCAP Price, $/MW-Day</t>
  </si>
  <si>
    <t>Point (a1) UCAP Level, MW</t>
  </si>
  <si>
    <t>Point (b1) UCAP Level, MW</t>
  </si>
  <si>
    <t>Point (prd1) UCAP Level, MW</t>
  </si>
  <si>
    <t>Point (prd2) UCAP Level, MW</t>
  </si>
  <si>
    <t>Pre-Auction Credit Rate, $/MW</t>
  </si>
  <si>
    <t>FRR Load Requirement (% Obligation):</t>
  </si>
  <si>
    <t>Minimum Internal Resource Requirement</t>
  </si>
  <si>
    <t>* - Participant Funded ICTRs will be updated on final Planning Parameters posting after the completion of the 28/29 BRA</t>
  </si>
  <si>
    <t>LDA CETO/CETL Data; Zonal Peak Loads, Base Zonal FRR Scaling Factors, and FRR load.</t>
  </si>
  <si>
    <t>LDA/Zone</t>
  </si>
  <si>
    <t>CETO (Capacity Emergency Transfer Objective)</t>
  </si>
  <si>
    <t>CETL (Capacity Emergency Transfer Limit)</t>
  </si>
  <si>
    <t>CETL to CETO Ratio %</t>
  </si>
  <si>
    <t>2025 Zonal W/N Coincident Peak Loads</t>
  </si>
  <si>
    <t>LA Adder**</t>
  </si>
  <si>
    <t>Preliminary Zonal Peak Load Forecast minus LA Adder</t>
  </si>
  <si>
    <t>Base Zonal FRR Scaling Factor</t>
  </si>
  <si>
    <t>Preliminary Zonal Peak Load Forecast</t>
  </si>
  <si>
    <t xml:space="preserve">FRR Portion of the Preliminary Peak Load Forecast       </t>
  </si>
  <si>
    <t>Preliminary Zonal Peak Load Forecast minus FRR Load</t>
  </si>
  <si>
    <t>AE</t>
  </si>
  <si>
    <t>AEP</t>
  </si>
  <si>
    <t>APS</t>
  </si>
  <si>
    <t>ATSI-CLEVELAND</t>
  </si>
  <si>
    <t>DLCO</t>
  </si>
  <si>
    <t>DPL</t>
  </si>
  <si>
    <t>EKPC</t>
  </si>
  <si>
    <t>METED</t>
  </si>
  <si>
    <t>OVEC</t>
  </si>
  <si>
    <t>PECO</t>
  </si>
  <si>
    <t>PENLC</t>
  </si>
  <si>
    <t>PL (incl. UGI)</t>
  </si>
  <si>
    <t>RECO</t>
  </si>
  <si>
    <t>Western MAAC</t>
  </si>
  <si>
    <t>Western PJM</t>
  </si>
  <si>
    <t>***</t>
  </si>
  <si>
    <t>* LDA has adequate internal resources to meet the reliability criterion.</t>
  </si>
  <si>
    <t>** LA Adder represents Load Adjustments in auction DY for each zone. See M19 Attachment B.</t>
  </si>
  <si>
    <t>Limiting conditions at the CETL for modeled LDAs:</t>
  </si>
  <si>
    <t xml:space="preserve">LDA      </t>
  </si>
  <si>
    <t>Violation</t>
  </si>
  <si>
    <t>Limiting Facility</t>
  </si>
  <si>
    <t>Mean Thermal</t>
  </si>
  <si>
    <t>PSNORTH</t>
  </si>
  <si>
    <t>Discrete Thermal</t>
  </si>
  <si>
    <t>DPLSOUTH</t>
  </si>
  <si>
    <t>Mean/Discrete Voltage</t>
  </si>
  <si>
    <t>Discrete Voltage</t>
  </si>
  <si>
    <t>3/20/2026 - Initial posting - please note that resources with Reliability Must Run requirements are included in the Planning Parameters modeling.</t>
  </si>
  <si>
    <t>Point (d) UCAP Price, $/MW-Day</t>
  </si>
  <si>
    <t>Point (d) UCAP Level, MW</t>
  </si>
  <si>
    <t>RPM CONE and E&amp;AS Values for 2028/2029 Base Residual Auction</t>
  </si>
  <si>
    <t>ICAP to UCAP Conversion Factor:</t>
  </si>
  <si>
    <t>UCAP Price = ICAP Price / Pool-Wide Average Accredited UCAP Factor</t>
  </si>
  <si>
    <t>Reference Resource Accredited UCAP Factor</t>
  </si>
  <si>
    <t>CONE Area 1: AE, DPL, JCPL, PECO, PS, RECO</t>
  </si>
  <si>
    <t>CONE Area 2: BGE, PEPCO</t>
  </si>
  <si>
    <t>CONE Area 3: AEP, APS, ATSI, Dayton, DEOK, Dominion, Duquesne (DLCo), EKPC, OVEC</t>
  </si>
  <si>
    <t>CONE Area 4: MetEd, Penelec, PPL</t>
  </si>
  <si>
    <t>CONE Area 5: ComEd</t>
  </si>
  <si>
    <t>Zone/LDA</t>
  </si>
  <si>
    <t>2028/2029 BRA CONE: Levelized Revenue Requirement,     $/MW-Year *</t>
  </si>
  <si>
    <t>Escalation</t>
  </si>
  <si>
    <t>2028/2029 BRA CONE: Levelized Revenue Requirement, $/MW-Year</t>
  </si>
  <si>
    <t>Gross CONE, $/MW-Day, UCAP Price</t>
  </si>
  <si>
    <t>Forward Net E&amp;AS Revenue Offset, $/MW-Year, ICAP</t>
  </si>
  <si>
    <t>Forward Net E&amp;AS Revenue Offset, $/MW-Year, UCAP</t>
  </si>
  <si>
    <t>Net CONE,         $/MW-Day,    ICAP Price</t>
  </si>
  <si>
    <t>Net CONE,   $/MW-Day,  UCAP Price</t>
  </si>
  <si>
    <t>LDA Modeled with VRR Curve</t>
  </si>
  <si>
    <t>CONE Area 1</t>
  </si>
  <si>
    <t>PE</t>
  </si>
  <si>
    <t>PSEG</t>
  </si>
  <si>
    <t>PS, PSEG NORTH</t>
  </si>
  <si>
    <t>CONE Area 2</t>
  </si>
  <si>
    <t>CONE Area 4</t>
  </si>
  <si>
    <t>PENELEC</t>
  </si>
  <si>
    <t>PPL</t>
  </si>
  <si>
    <t>CONE Area 3</t>
  </si>
  <si>
    <t>ATSI, ATSI CLEVELAND</t>
  </si>
  <si>
    <t>CONE Area 5</t>
  </si>
  <si>
    <t>CONE Area 5 29/30, 30/31, and 30/32 includes asset life factor of 1.025, 1.054, and 1.088 respectively.</t>
  </si>
  <si>
    <t>* The 2028/2029 BRA CONE values are based on PJM’s filing (Docket No. ER26-455) which was FERC approved on January 21, 2026.</t>
  </si>
  <si>
    <t>&gt;2,554.2</t>
  </si>
  <si>
    <t>&gt;4,408.0</t>
  </si>
  <si>
    <t>&gt;1,841.2</t>
  </si>
  <si>
    <t>&gt;11803</t>
  </si>
  <si>
    <t>&gt;2,102.2</t>
  </si>
  <si>
    <t>&gt;1,697.4</t>
  </si>
  <si>
    <t>&gt;1,102.9</t>
  </si>
  <si>
    <t>&gt;1,703.2</t>
  </si>
  <si>
    <t>&gt;3,468.4</t>
  </si>
  <si>
    <t>&gt;266.8</t>
  </si>
  <si>
    <t>*</t>
  </si>
  <si>
    <t>Morrisville - Loudoun 500 kV line for the loss of Brister - Ox 500 kV line</t>
  </si>
  <si>
    <t>Morrisville - Loudoun 500 kV line for the loss of Brister - Ox 500 kV line
Elroy - Hosensack 500 kV for the loss of Alburtis - Branchburg 500 kV</t>
  </si>
  <si>
    <t>Voltage collapse for the loss of Brighton - Conastone 500 kV line (5011)</t>
  </si>
  <si>
    <t>Morrisville - Loudoun 500 kV line for the loss of Brister - Ox 500 kV line
Laurel Ave - Livingston 230 kV for the loss of Roseland - West Orange 230 kV
Roseland _Wilpipe 230 kV for the loss of Rosland - Cedar Grove 230 kV</t>
  </si>
  <si>
    <t>Morrisville - Loudoun 500 kV line for the loss of Brister - Ox 500 kV line
Laurel Ave - Livingston 230 kV for the loss of Roseland - West Orange 230 kV
Roseland _Wilpipe 230 kV for the loss of Rosland - Cedar Grove 230 k</t>
  </si>
  <si>
    <t>Loudoun - Morrisville 500 kV line for the loss of Brister - Ox 500 kV line
Cool Springs - Miford 230 kV for the loss of Milford - Indian River 230 kV line</t>
  </si>
  <si>
    <t xml:space="preserve">No limiting facility found </t>
  </si>
  <si>
    <t>Knollwood - Overlook 138 kV  for the loss of Greene - Overlook - Monument 138 kV
S.W. Lima - West Moulton 138 kV  for the loss of Gristmill - S.W. Lima 345 kV</t>
  </si>
  <si>
    <t>Pierce 345/138 kV transformer #18 for the loss of Pierce - Foster 345 kV line
Sporn - Kyger Creek 345 kV line for the loss of Hanging /Rock - Don Marquis 765 kV line and Marquis 765/345 kV transformer #1</t>
  </si>
  <si>
    <t>Doubs - Goose Creek 500 kV for the loss of  Meadow Brook - Loudoun 500 kV
Twin Creek - Edwards Ferry 230 kV for the loss of Doubs - Goose Creek 500 kV</t>
  </si>
  <si>
    <t>Morrisville - Loudoun 500 kV line for the loss of Brister - Ox 500 kV line
Cookstown - Lumberton 230 kV for the loss of Larrabee - Smithburg 230 kV
Middlesex - Lake Nelson (I) 230 kV for the loss of  Larrabee - Smithburg 230 kV</t>
  </si>
  <si>
    <t>&gt;115%***</t>
  </si>
  <si>
    <t>*** Analysis assumes sufficient resources outside the LDA under study</t>
  </si>
  <si>
    <t>Discreet Thermal</t>
  </si>
  <si>
    <t>Mean/Discrete Thermal</t>
  </si>
  <si>
    <t>Low voltage at Lake Ave, Avon and  Beaver 345 kV substations for the loss of Beaver - AC2-103 Tap (to Davis -Besse)  345 kV line</t>
  </si>
  <si>
    <t>Goodings Grove - Lockport "B" 345 kV line for the loss of Lockport - Kendall County Ec 345kv</t>
  </si>
  <si>
    <t/>
  </si>
  <si>
    <t>4/21/2026 - Updated Limiting Facility for COMED LDA.</t>
  </si>
  <si>
    <t>Price Cap ($/MW-ICAP)</t>
  </si>
  <si>
    <t>Established in ER26-1556</t>
  </si>
  <si>
    <t>Price Floor ($/MW-ICAP)</t>
  </si>
  <si>
    <t>4/29/2026 - Added VRR Curve to reflect FERC approval of the extension of cap and floor.  Added final FRR data.</t>
  </si>
  <si>
    <t>New Key Transmission Upgrades included for 2028/2029 model</t>
  </si>
  <si>
    <t>UpgradeId</t>
  </si>
  <si>
    <t>Description</t>
  </si>
  <si>
    <t>Transmission Owner</t>
  </si>
  <si>
    <t>b3800.200</t>
  </si>
  <si>
    <t>Build a new 500kV line from Aspen - Golden on 500/230kV double circuit structures with substation upgrades at Aspen and Golden. New conductor to have a minimum summer normal rating of 4357MVA.</t>
  </si>
  <si>
    <t>Dominion</t>
  </si>
  <si>
    <t>b3800.212</t>
  </si>
  <si>
    <t>Build a new 500kV Line from Mars-Golden on 500/230kV double circuit structures with substation upgrades at Golden and Mars. New conductor to have a monimum summer normal rating of 4357 MVA.</t>
  </si>
  <si>
    <t>b3800.213</t>
  </si>
  <si>
    <t>Cut 500kV Line # 558  Brambleton - Goose Creek into Aspen substation. Upgrade 500kV terminal equipment at Aspen and Goose Creek to 5000A continuous rating current. At Goose Creek, replace circuit breakers 59582 and 55882, and associated disconnect switches, breaker leads, bus, and line risers to accommodate 5000A rating.</t>
  </si>
  <si>
    <t>b3800.214</t>
  </si>
  <si>
    <t>Build a new 500kV Line from Aspen - Goose Creek to achieve a summer rating of 4357 MVA. Install new 500kV terminal equipment at Aspen.</t>
  </si>
  <si>
    <t>b3800.225</t>
  </si>
  <si>
    <t>Change 500kV Line #558 destination at Brambleton to Aspen Substation and upgrade line protection relays</t>
  </si>
  <si>
    <t>b3800.311</t>
  </si>
  <si>
    <t>Rebuild 500kV Line #545 Bristers - Morrisville as a single circuit monopole line to accommodate the new 500 kV line in the existing ROW. New conductor to have a summer rating of 4357 MVA.</t>
  </si>
  <si>
    <t>b3800.336</t>
  </si>
  <si>
    <t>Upgrade and install equipment at Bristers substation to support the new conductor 5000A rating for 500kV Line #545.</t>
  </si>
  <si>
    <t>b4000.343</t>
  </si>
  <si>
    <t>Uprate bus at Brambleton to support 500kV Line #558 (Aspen to Brambleton) uprate.</t>
  </si>
  <si>
    <t>n8485.1</t>
  </si>
  <si>
    <t>Build a three breaker AE2-051 500 kV switching substation.</t>
  </si>
  <si>
    <t>n8485.2</t>
  </si>
  <si>
    <t>Re-arrange line #562 to loop into and out of the new three breaker AE2-051 500 kV switching station</t>
  </si>
  <si>
    <t>b3737.30</t>
  </si>
  <si>
    <t>Add third Smithburg 500/230 kV transformer.</t>
  </si>
  <si>
    <t>Key Transmission Upgrades included for 2027/2028 model but not included for 2028/2029 model</t>
  </si>
  <si>
    <t>Upgrade ID</t>
  </si>
  <si>
    <t>None</t>
  </si>
  <si>
    <t>Post-Auction Credit Rate, $/MW</t>
  </si>
  <si>
    <t xml:space="preserve">Please see 28/29 BRA Auction Results file (BRA ICTRs tab) for data on awarded Participant-Funded ICTRs </t>
  </si>
  <si>
    <t>7/27/2026 - Added Post-Auction Credit Rate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</si>
</sst>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
    <numFmt numFmtId="166" formatCode="0.0%"/>
    <numFmt numFmtId="167" formatCode="0.0000"/>
    <numFmt numFmtId="168" formatCode="0.0"/>
    <numFmt numFmtId="169" formatCode="#,##0.00000"/>
    <numFmt numFmtId="170" formatCode="0.000"/>
    <numFmt numFmtId="171" formatCode="&quot;$&quot;#,##0"/>
  </numFmts>
  <fonts count="18">
    <font>
      <sz val="11"/>
      <color theme="1"/>
      <name val="Aptos Narrow"/>
      <family val="2"/>
      <scheme val="minor"/>
    </font>
    <font>
      <sz val="11"/>
      <color theme="1"/>
      <name val="Aptos Narrow"/>
      <family val="2"/>
      <scheme val="minor"/>
    </font>
    <font>
      <b/>
      <sz val="11"/>
      <color theme="1"/>
      <name val="Aptos Narrow"/>
      <family val="2"/>
      <scheme val="minor"/>
    </font>
    <font>
      <b/>
      <sz val="14"/>
      <name val="Arial"/>
      <family val="2"/>
    </font>
    <font>
      <b/>
      <sz val="14"/>
      <color rgb="FFFF0000"/>
      <name val="Arial"/>
      <family val="2"/>
    </font>
    <font>
      <b/>
      <sz val="12"/>
      <name val="Arial"/>
      <family val="2"/>
    </font>
    <font>
      <b/>
      <sz val="12"/>
      <color rgb="FFFF0000"/>
      <name val="Arial"/>
      <family val="2"/>
    </font>
    <font>
      <sz val="12"/>
      <name val="Arial"/>
      <family val="2"/>
    </font>
    <font>
      <sz val="12"/>
      <color theme="1"/>
      <name val="Arial"/>
      <family val="2"/>
    </font>
    <font>
      <b/>
      <sz val="10"/>
      <name val="Arial"/>
      <family val="2"/>
    </font>
    <font>
      <sz val="10"/>
      <name val="Arial"/>
      <family val="2"/>
    </font>
    <font>
      <b/>
      <sz val="12"/>
      <color theme="1"/>
      <name val="Arial"/>
      <family val="2"/>
    </font>
    <font>
      <sz val="10"/>
      <color rgb="FFFF0000"/>
      <name val="Arial"/>
      <family val="2"/>
    </font>
    <font>
      <b/>
      <sz val="10"/>
      <color rgb="FFFF0000"/>
      <name val="Arial"/>
      <family val="2"/>
    </font>
    <font>
      <sz val="9"/>
      <color rgb="FFFF0000"/>
      <name val="Arial"/>
      <family val="2"/>
    </font>
    <font>
      <b/>
      <sz val="12"/>
      <color rgb="FF000000"/>
      <name val="Calibri"/>
      <family val="2"/>
    </font>
    <font>
      <sz val="9.5"/>
      <color rgb="FF000000"/>
      <name val="Albany AMT"/>
    </font>
    <font>
      <b/>
      <sz val="11"/>
      <name val="Arial"/>
      <family val="2"/>
    </font>
  </fonts>
  <fills count="13">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rgb="FFE4DFEC"/>
        <bgColor indexed="64"/>
      </patternFill>
    </fill>
    <fill>
      <patternFill patternType="solid">
        <fgColor rgb="FFEEE4EC"/>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59999389629810485"/>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xf numFmtId="0" fontId="10" fillId="0" borderId="0"/>
    <xf numFmtId="0" fontId="16" fillId="0" borderId="0"/>
    <xf numFmtId="0" fontId="10" fillId="0" borderId="0">
      <alignment wrapText="1"/>
    </xf>
  </cellStyleXfs>
  <cellXfs count="249">
    <xf numFmtId="0" fontId="0" fillId="0" borderId="0" xfId="0"/>
    <xf numFmtId="0" fontId="3" fillId="0" borderId="0" xfId="0" applyFont="1" applyAlignment="1">
      <alignment vertical="center"/>
    </xf>
    <xf numFmtId="0" fontId="3" fillId="0" borderId="0" xfId="0" applyFont="1" applyAlignment="1">
      <alignment horizontal="left" vertical="center"/>
    </xf>
    <xf numFmtId="14" fontId="3" fillId="2" borderId="0" xfId="0" applyNumberFormat="1" applyFont="1" applyFill="1" applyAlignment="1">
      <alignment horizontal="center"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4" fontId="0" fillId="0" borderId="0" xfId="0" applyNumberFormat="1" applyAlignment="1">
      <alignment horizontal="center"/>
    </xf>
    <xf numFmtId="0" fontId="3" fillId="0" borderId="0" xfId="0" applyFont="1" applyAlignment="1">
      <alignment horizontal="center" vertical="center"/>
    </xf>
    <xf numFmtId="0" fontId="5" fillId="0" borderId="0" xfId="0" applyFont="1" applyAlignment="1">
      <alignment horizontal="center"/>
    </xf>
    <xf numFmtId="165" fontId="6" fillId="0" borderId="0" xfId="0" applyNumberFormat="1" applyFont="1" applyAlignment="1">
      <alignment horizontal="left" vertical="center"/>
    </xf>
    <xf numFmtId="0" fontId="7" fillId="0" borderId="0" xfId="0" applyFont="1" applyAlignment="1">
      <alignment horizontal="left" vertical="center"/>
    </xf>
    <xf numFmtId="164" fontId="6" fillId="0" borderId="0" xfId="0" applyNumberFormat="1" applyFont="1" applyAlignment="1">
      <alignment horizontal="left" vertical="center"/>
    </xf>
    <xf numFmtId="1" fontId="6" fillId="0" borderId="0" xfId="0" applyNumberFormat="1" applyFont="1" applyAlignment="1">
      <alignment horizontal="left" vertical="center"/>
    </xf>
    <xf numFmtId="0" fontId="6" fillId="0" borderId="0" xfId="0" applyFont="1" applyAlignment="1">
      <alignment horizontal="left" vertical="center"/>
    </xf>
    <xf numFmtId="0" fontId="7" fillId="0" borderId="1" xfId="0" applyFont="1" applyBorder="1" applyAlignment="1">
      <alignment horizontal="left" vertical="center"/>
    </xf>
    <xf numFmtId="0" fontId="3" fillId="0" borderId="2" xfId="0" applyFont="1" applyBorder="1" applyAlignment="1">
      <alignment horizontal="center"/>
    </xf>
    <xf numFmtId="166" fontId="7" fillId="3" borderId="2" xfId="0" applyNumberFormat="1" applyFont="1" applyFill="1" applyBorder="1" applyAlignment="1">
      <alignment horizontal="right" vertical="center"/>
    </xf>
    <xf numFmtId="0" fontId="7" fillId="4" borderId="1" xfId="0" applyFont="1" applyFill="1" applyBorder="1" applyAlignment="1">
      <alignment horizontal="left" vertical="center"/>
    </xf>
    <xf numFmtId="10" fontId="7" fillId="3" borderId="2" xfId="0" applyNumberFormat="1" applyFont="1" applyFill="1" applyBorder="1" applyAlignment="1">
      <alignment horizontal="right" vertical="center"/>
    </xf>
    <xf numFmtId="167" fontId="7" fillId="3" borderId="2" xfId="0" applyNumberFormat="1" applyFont="1" applyFill="1" applyBorder="1" applyAlignment="1">
      <alignment horizontal="right" vertical="center"/>
    </xf>
    <xf numFmtId="165" fontId="8" fillId="3" borderId="2" xfId="0" applyNumberFormat="1" applyFont="1" applyFill="1" applyBorder="1" applyAlignment="1">
      <alignment horizontal="right" vertical="center"/>
    </xf>
    <xf numFmtId="164" fontId="7"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9" fillId="0" borderId="3" xfId="0" applyFont="1" applyBorder="1" applyAlignment="1">
      <alignment horizontal="center" vertical="center"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1" xfId="0" applyFont="1" applyBorder="1" applyAlignment="1">
      <alignment horizontal="center" vertical="center"/>
    </xf>
    <xf numFmtId="0" fontId="7" fillId="3" borderId="6" xfId="0" applyFont="1" applyFill="1" applyBorder="1" applyAlignment="1">
      <alignment horizontal="left" vertical="center" wrapText="1"/>
    </xf>
    <xf numFmtId="165" fontId="7" fillId="0" borderId="1" xfId="0" applyNumberFormat="1" applyFont="1" applyBorder="1" applyAlignment="1">
      <alignment horizontal="right" vertical="center" wrapText="1"/>
    </xf>
    <xf numFmtId="165" fontId="8" fillId="0" borderId="1" xfId="0" applyNumberFormat="1" applyFont="1" applyBorder="1" applyAlignment="1">
      <alignment horizontal="right" vertical="center" wrapText="1"/>
    </xf>
    <xf numFmtId="1" fontId="7" fillId="3" borderId="6" xfId="0" applyNumberFormat="1" applyFont="1" applyFill="1" applyBorder="1" applyAlignment="1">
      <alignment horizontal="left" vertical="center" wrapText="1"/>
    </xf>
    <xf numFmtId="165"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64" fontId="0" fillId="0" borderId="0" xfId="0" applyNumberFormat="1"/>
    <xf numFmtId="165" fontId="0" fillId="0" borderId="0" xfId="0" applyNumberFormat="1"/>
    <xf numFmtId="1" fontId="7" fillId="3" borderId="6" xfId="0" applyNumberFormat="1" applyFont="1" applyFill="1" applyBorder="1" applyAlignment="1">
      <alignment horizontal="left" vertical="center"/>
    </xf>
    <xf numFmtId="165" fontId="5" fillId="0" borderId="1" xfId="0" applyNumberFormat="1" applyFont="1" applyBorder="1" applyAlignment="1">
      <alignment horizontal="right" vertical="center" wrapText="1"/>
    </xf>
    <xf numFmtId="0" fontId="7" fillId="3" borderId="1" xfId="0" applyFont="1" applyFill="1" applyBorder="1" applyAlignment="1">
      <alignment horizontal="left" vertical="center" wrapText="1"/>
    </xf>
    <xf numFmtId="164" fontId="7" fillId="0" borderId="1" xfId="0" applyNumberFormat="1" applyFont="1" applyBorder="1" applyAlignment="1">
      <alignment horizontal="right" vertical="center" wrapText="1"/>
    </xf>
    <xf numFmtId="0" fontId="0" fillId="0" borderId="9" xfId="0" applyBorder="1"/>
    <xf numFmtId="0" fontId="7" fillId="5" borderId="10" xfId="0" applyFont="1" applyFill="1" applyBorder="1" applyAlignment="1">
      <alignment horizontal="left" vertical="center" wrapText="1"/>
    </xf>
    <xf numFmtId="164" fontId="7" fillId="5" borderId="11" xfId="0" applyNumberFormat="1" applyFont="1" applyFill="1" applyBorder="1" applyAlignment="1">
      <alignment horizontal="right" vertical="center" wrapText="1"/>
    </xf>
    <xf numFmtId="0" fontId="7" fillId="5" borderId="6" xfId="0" applyFont="1" applyFill="1" applyBorder="1" applyAlignment="1">
      <alignment horizontal="left" vertical="center" wrapText="1"/>
    </xf>
    <xf numFmtId="164" fontId="7" fillId="5" borderId="1" xfId="0" applyNumberFormat="1" applyFont="1" applyFill="1" applyBorder="1" applyAlignment="1">
      <alignment horizontal="right" vertical="center" wrapText="1"/>
    </xf>
    <xf numFmtId="165" fontId="7" fillId="5" borderId="1" xfId="0" applyNumberFormat="1" applyFont="1" applyFill="1" applyBorder="1" applyAlignment="1">
      <alignment horizontal="right" vertical="center" wrapText="1"/>
    </xf>
    <xf numFmtId="165" fontId="7" fillId="5" borderId="13" xfId="0" applyNumberFormat="1" applyFont="1" applyFill="1" applyBorder="1" applyAlignment="1">
      <alignment horizontal="right" vertical="center" wrapText="1"/>
    </xf>
    <xf numFmtId="0" fontId="5" fillId="6" borderId="14" xfId="0" applyFont="1" applyFill="1" applyBorder="1" applyAlignment="1">
      <alignment horizontal="left" vertical="center" wrapText="1"/>
    </xf>
    <xf numFmtId="165" fontId="7" fillId="7" borderId="5" xfId="0" applyNumberFormat="1" applyFont="1" applyFill="1" applyBorder="1" applyAlignment="1">
      <alignment horizontal="right" vertical="center" wrapText="1"/>
    </xf>
    <xf numFmtId="0" fontId="0" fillId="0" borderId="16" xfId="0" applyBorder="1"/>
    <xf numFmtId="0" fontId="0" fillId="0" borderId="18" xfId="0" applyBorder="1"/>
    <xf numFmtId="0" fontId="7" fillId="8" borderId="10" xfId="0" applyFont="1" applyFill="1" applyBorder="1" applyAlignment="1">
      <alignment horizontal="left" vertical="center" wrapText="1"/>
    </xf>
    <xf numFmtId="164" fontId="7" fillId="8" borderId="11" xfId="0" applyNumberFormat="1" applyFont="1" applyFill="1" applyBorder="1" applyAlignment="1">
      <alignment horizontal="right" vertical="center" wrapText="1"/>
    </xf>
    <xf numFmtId="164" fontId="7" fillId="8" borderId="19" xfId="0" applyNumberFormat="1" applyFont="1" applyFill="1" applyBorder="1" applyAlignment="1">
      <alignment horizontal="right" vertical="center" wrapText="1"/>
    </xf>
    <xf numFmtId="164" fontId="7" fillId="8" borderId="20" xfId="0" applyNumberFormat="1" applyFont="1" applyFill="1" applyBorder="1" applyAlignment="1">
      <alignment horizontal="right" vertical="center" wrapText="1"/>
    </xf>
    <xf numFmtId="0" fontId="7" fillId="8" borderId="6" xfId="0" applyFont="1" applyFill="1" applyBorder="1" applyAlignment="1">
      <alignment horizontal="left" vertical="center" wrapText="1"/>
    </xf>
    <xf numFmtId="164" fontId="7" fillId="8" borderId="1" xfId="0" applyNumberFormat="1" applyFont="1" applyFill="1" applyBorder="1" applyAlignment="1">
      <alignment horizontal="right" vertical="center" wrapText="1"/>
    </xf>
    <xf numFmtId="164" fontId="7" fillId="8" borderId="2" xfId="0" applyNumberFormat="1" applyFont="1" applyFill="1" applyBorder="1" applyAlignment="1">
      <alignment horizontal="right" vertical="center" wrapText="1"/>
    </xf>
    <xf numFmtId="164" fontId="7" fillId="8" borderId="21" xfId="0" applyNumberFormat="1" applyFont="1" applyFill="1" applyBorder="1" applyAlignment="1">
      <alignment horizontal="right" vertical="center" wrapText="1"/>
    </xf>
    <xf numFmtId="0" fontId="7" fillId="8" borderId="12" xfId="0" applyFont="1" applyFill="1" applyBorder="1" applyAlignment="1">
      <alignment horizontal="left" vertical="center" wrapText="1"/>
    </xf>
    <xf numFmtId="164" fontId="7" fillId="8" borderId="13" xfId="0" applyNumberFormat="1" applyFont="1" applyFill="1" applyBorder="1" applyAlignment="1">
      <alignment horizontal="right" vertical="center" wrapText="1"/>
    </xf>
    <xf numFmtId="164" fontId="7" fillId="8" borderId="22" xfId="0" applyNumberFormat="1" applyFont="1" applyFill="1" applyBorder="1" applyAlignment="1">
      <alignment horizontal="right" vertical="center" wrapText="1"/>
    </xf>
    <xf numFmtId="164" fontId="7" fillId="8" borderId="23" xfId="0" applyNumberFormat="1" applyFont="1" applyFill="1" applyBorder="1" applyAlignment="1">
      <alignment horizontal="right" vertical="center" wrapText="1"/>
    </xf>
    <xf numFmtId="0" fontId="7" fillId="9" borderId="10" xfId="0" applyFont="1" applyFill="1" applyBorder="1" applyAlignment="1">
      <alignment horizontal="left" vertical="center" wrapText="1"/>
    </xf>
    <xf numFmtId="165" fontId="7" fillId="9" borderId="11" xfId="0" applyNumberFormat="1" applyFont="1" applyFill="1" applyBorder="1" applyAlignment="1">
      <alignment horizontal="right" vertical="center" wrapText="1"/>
    </xf>
    <xf numFmtId="165" fontId="7" fillId="9" borderId="19" xfId="0" applyNumberFormat="1" applyFont="1" applyFill="1" applyBorder="1" applyAlignment="1">
      <alignment horizontal="right" vertical="center" wrapText="1"/>
    </xf>
    <xf numFmtId="165" fontId="7" fillId="9" borderId="20" xfId="0" applyNumberFormat="1" applyFont="1" applyFill="1" applyBorder="1" applyAlignment="1">
      <alignment horizontal="right" vertical="center" wrapText="1"/>
    </xf>
    <xf numFmtId="0" fontId="7" fillId="9" borderId="6" xfId="0" applyFont="1" applyFill="1" applyBorder="1" applyAlignment="1">
      <alignment horizontal="left" vertical="center" wrapText="1"/>
    </xf>
    <xf numFmtId="165" fontId="7" fillId="9" borderId="1" xfId="0" applyNumberFormat="1" applyFont="1" applyFill="1" applyBorder="1" applyAlignment="1">
      <alignment horizontal="right" vertical="center" wrapText="1"/>
    </xf>
    <xf numFmtId="165" fontId="7" fillId="9" borderId="2" xfId="0" applyNumberFormat="1" applyFont="1" applyFill="1" applyBorder="1" applyAlignment="1">
      <alignment horizontal="right" vertical="center" wrapText="1"/>
    </xf>
    <xf numFmtId="165" fontId="7" fillId="9" borderId="21" xfId="0" applyNumberFormat="1" applyFont="1" applyFill="1" applyBorder="1" applyAlignment="1">
      <alignment horizontal="right" vertical="center" wrapText="1"/>
    </xf>
    <xf numFmtId="0" fontId="7" fillId="9" borderId="12" xfId="0" applyFont="1" applyFill="1" applyBorder="1" applyAlignment="1">
      <alignment horizontal="left" vertical="center" wrapText="1"/>
    </xf>
    <xf numFmtId="165" fontId="7" fillId="9" borderId="13" xfId="0" applyNumberFormat="1" applyFont="1" applyFill="1" applyBorder="1" applyAlignment="1">
      <alignment horizontal="right" vertical="center" wrapText="1"/>
    </xf>
    <xf numFmtId="165" fontId="7" fillId="9" borderId="22" xfId="0" applyNumberFormat="1" applyFont="1" applyFill="1" applyBorder="1" applyAlignment="1">
      <alignment horizontal="right" vertical="center" wrapText="1"/>
    </xf>
    <xf numFmtId="165" fontId="7" fillId="9" borderId="23" xfId="0" applyNumberFormat="1" applyFont="1" applyFill="1" applyBorder="1" applyAlignment="1">
      <alignment horizontal="right" vertical="center" wrapText="1"/>
    </xf>
    <xf numFmtId="0" fontId="5" fillId="0" borderId="3" xfId="0" applyFont="1" applyBorder="1" applyAlignment="1">
      <alignment horizontal="left" vertical="center" wrapText="1"/>
    </xf>
    <xf numFmtId="164" fontId="8" fillId="0" borderId="4" xfId="0" applyNumberFormat="1" applyFont="1" applyBorder="1" applyAlignment="1">
      <alignment horizontal="right" vertical="center"/>
    </xf>
    <xf numFmtId="0" fontId="7" fillId="0" borderId="6" xfId="0" applyFont="1" applyBorder="1" applyAlignment="1">
      <alignment horizontal="left" vertical="center" wrapText="1"/>
    </xf>
    <xf numFmtId="166" fontId="7" fillId="0" borderId="1" xfId="0" applyNumberFormat="1" applyFont="1" applyBorder="1" applyAlignment="1">
      <alignment horizontal="right" vertical="center" wrapText="1"/>
    </xf>
    <xf numFmtId="166" fontId="7" fillId="0" borderId="1" xfId="3" applyNumberFormat="1" applyFont="1" applyFill="1" applyBorder="1" applyAlignment="1">
      <alignment horizontal="right" vertical="center"/>
    </xf>
    <xf numFmtId="166" fontId="7" fillId="0" borderId="1" xfId="3" applyNumberFormat="1" applyFont="1" applyBorder="1" applyAlignment="1">
      <alignment horizontal="right" vertical="center"/>
    </xf>
    <xf numFmtId="166" fontId="7" fillId="0" borderId="2" xfId="3" applyNumberFormat="1" applyFont="1" applyBorder="1" applyAlignment="1">
      <alignment horizontal="right" vertical="center"/>
    </xf>
    <xf numFmtId="0" fontId="5" fillId="0" borderId="2" xfId="0" applyFont="1" applyBorder="1" applyAlignment="1">
      <alignment horizontal="left" vertical="center"/>
    </xf>
    <xf numFmtId="166" fontId="7" fillId="0" borderId="24" xfId="0" applyNumberFormat="1" applyFont="1" applyBorder="1" applyAlignment="1">
      <alignment horizontal="right" vertical="center" wrapText="1"/>
    </xf>
    <xf numFmtId="166" fontId="7" fillId="0" borderId="24" xfId="3" applyNumberFormat="1" applyFont="1" applyFill="1" applyBorder="1" applyAlignment="1">
      <alignment horizontal="right" vertical="center"/>
    </xf>
    <xf numFmtId="166" fontId="7" fillId="0" borderId="24" xfId="3" applyNumberFormat="1" applyFont="1" applyBorder="1" applyAlignment="1">
      <alignment horizontal="right" vertical="center"/>
    </xf>
    <xf numFmtId="166" fontId="7" fillId="0" borderId="25" xfId="3" applyNumberFormat="1" applyFont="1" applyBorder="1" applyAlignment="1">
      <alignment horizontal="right" vertical="center"/>
    </xf>
    <xf numFmtId="0" fontId="7" fillId="0" borderId="9" xfId="0" applyFont="1" applyBorder="1" applyAlignment="1">
      <alignment horizontal="left" vertical="center"/>
    </xf>
    <xf numFmtId="0" fontId="5" fillId="0" borderId="0" xfId="0" applyFont="1" applyAlignment="1">
      <alignment horizontal="left" vertical="center"/>
    </xf>
    <xf numFmtId="165" fontId="0" fillId="0" borderId="0" xfId="0" applyNumberFormat="1" applyAlignment="1">
      <alignment horizontal="left"/>
    </xf>
    <xf numFmtId="0" fontId="10" fillId="0" borderId="0" xfId="0" applyFont="1"/>
    <xf numFmtId="0" fontId="5" fillId="0" borderId="1" xfId="0" applyFont="1" applyBorder="1" applyAlignment="1">
      <alignment horizontal="right" vertical="center" wrapText="1"/>
    </xf>
    <xf numFmtId="0" fontId="5" fillId="0" borderId="1" xfId="0" applyFont="1" applyBorder="1" applyAlignment="1">
      <alignment horizontal="left" vertical="center" wrapText="1"/>
    </xf>
    <xf numFmtId="0" fontId="10" fillId="0" borderId="0" xfId="0" applyFont="1" applyAlignment="1">
      <alignment vertical="center"/>
    </xf>
    <xf numFmtId="0" fontId="7" fillId="0" borderId="1" xfId="0" applyFont="1" applyBorder="1" applyAlignment="1">
      <alignment horizontal="right" vertical="center" wrapText="1"/>
    </xf>
    <xf numFmtId="0" fontId="7" fillId="3" borderId="1" xfId="0" applyFont="1" applyFill="1" applyBorder="1" applyAlignment="1">
      <alignment horizontal="right" vertical="center" wrapText="1"/>
    </xf>
    <xf numFmtId="165" fontId="7" fillId="3" borderId="1" xfId="0" applyNumberFormat="1" applyFont="1" applyFill="1" applyBorder="1" applyAlignment="1">
      <alignment horizontal="right" vertical="center" wrapText="1"/>
    </xf>
    <xf numFmtId="165" fontId="5" fillId="3" borderId="26" xfId="0" applyNumberFormat="1" applyFont="1" applyFill="1" applyBorder="1" applyAlignment="1">
      <alignment horizontal="right" vertical="center" wrapText="1"/>
    </xf>
    <xf numFmtId="165" fontId="7" fillId="3" borderId="26" xfId="0" applyNumberFormat="1" applyFont="1" applyFill="1" applyBorder="1" applyAlignment="1">
      <alignment horizontal="right" vertical="center" wrapText="1"/>
    </xf>
    <xf numFmtId="165" fontId="11" fillId="3" borderId="1" xfId="0" applyNumberFormat="1" applyFont="1" applyFill="1" applyBorder="1" applyAlignment="1">
      <alignment horizontal="right" vertical="center" wrapText="1"/>
    </xf>
    <xf numFmtId="0" fontId="7" fillId="0" borderId="1" xfId="0" applyFont="1" applyBorder="1" applyAlignment="1">
      <alignment horizontal="left" vertical="center" wrapText="1"/>
    </xf>
    <xf numFmtId="0" fontId="7" fillId="0" borderId="1" xfId="0" applyFont="1" applyBorder="1" applyAlignment="1">
      <alignment horizontal="right" vertical="center"/>
    </xf>
    <xf numFmtId="165" fontId="7" fillId="3" borderId="1" xfId="0" applyNumberFormat="1" applyFont="1" applyFill="1" applyBorder="1" applyAlignment="1">
      <alignment horizontal="right" vertical="center"/>
    </xf>
    <xf numFmtId="9" fontId="7" fillId="3" borderId="1" xfId="3" applyFont="1" applyFill="1" applyBorder="1" applyAlignment="1">
      <alignment horizontal="right" vertical="center" wrapText="1"/>
    </xf>
    <xf numFmtId="165" fontId="8" fillId="3" borderId="1" xfId="3" applyNumberFormat="1" applyFont="1" applyFill="1" applyBorder="1" applyAlignment="1">
      <alignment horizontal="right" vertical="center"/>
    </xf>
    <xf numFmtId="169" fontId="8" fillId="3" borderId="1" xfId="3" applyNumberFormat="1" applyFont="1" applyFill="1" applyBorder="1" applyAlignment="1">
      <alignment horizontal="right" vertical="center"/>
    </xf>
    <xf numFmtId="165" fontId="8" fillId="3" borderId="1" xfId="0" applyNumberFormat="1" applyFont="1" applyFill="1" applyBorder="1" applyAlignment="1">
      <alignment horizontal="right" vertical="center" wrapText="1"/>
    </xf>
    <xf numFmtId="9" fontId="10" fillId="0" borderId="0" xfId="3" applyFont="1" applyFill="1" applyBorder="1" applyAlignment="1">
      <alignment vertical="center" wrapText="1"/>
    </xf>
    <xf numFmtId="0" fontId="10" fillId="0" borderId="0" xfId="0" applyFont="1" applyAlignment="1">
      <alignment vertical="center" wrapText="1"/>
    </xf>
    <xf numFmtId="43" fontId="10" fillId="0" borderId="0" xfId="1" applyFont="1" applyFill="1" applyBorder="1" applyAlignment="1">
      <alignment vertical="center"/>
    </xf>
    <xf numFmtId="43" fontId="0" fillId="0" borderId="0" xfId="1" applyFont="1"/>
    <xf numFmtId="165" fontId="7" fillId="3" borderId="4" xfId="3" applyNumberFormat="1" applyFont="1" applyFill="1" applyBorder="1" applyAlignment="1">
      <alignment horizontal="right" vertical="center"/>
    </xf>
    <xf numFmtId="169" fontId="7" fillId="3" borderId="4" xfId="3" applyNumberFormat="1" applyFont="1" applyFill="1" applyBorder="1" applyAlignment="1">
      <alignment horizontal="right" vertical="center"/>
    </xf>
    <xf numFmtId="165" fontId="7" fillId="3" borderId="1" xfId="3" applyNumberFormat="1" applyFont="1" applyFill="1" applyBorder="1" applyAlignment="1">
      <alignment horizontal="right" vertical="center"/>
    </xf>
    <xf numFmtId="169" fontId="7" fillId="3" borderId="1" xfId="3" applyNumberFormat="1" applyFont="1" applyFill="1" applyBorder="1" applyAlignment="1">
      <alignment horizontal="right" vertical="center"/>
    </xf>
    <xf numFmtId="165" fontId="5" fillId="3" borderId="1" xfId="0" applyNumberFormat="1" applyFont="1" applyFill="1" applyBorder="1" applyAlignment="1">
      <alignment horizontal="right" vertical="center"/>
    </xf>
    <xf numFmtId="165" fontId="7" fillId="3" borderId="0" xfId="3" applyNumberFormat="1" applyFont="1" applyFill="1" applyBorder="1" applyAlignment="1">
      <alignment horizontal="right" vertical="center"/>
    </xf>
    <xf numFmtId="165" fontId="7" fillId="3" borderId="8" xfId="3" applyNumberFormat="1" applyFont="1" applyFill="1" applyBorder="1" applyAlignment="1">
      <alignment horizontal="right" vertical="center"/>
    </xf>
    <xf numFmtId="165" fontId="8" fillId="3" borderId="0" xfId="3" applyNumberFormat="1" applyFont="1" applyFill="1" applyBorder="1" applyAlignment="1">
      <alignment horizontal="right" vertical="center"/>
    </xf>
    <xf numFmtId="0" fontId="7" fillId="0" borderId="0" xfId="0" applyFont="1"/>
    <xf numFmtId="165" fontId="7" fillId="3" borderId="27" xfId="3" applyNumberFormat="1" applyFont="1" applyFill="1" applyBorder="1" applyAlignment="1">
      <alignment horizontal="right" vertical="center"/>
    </xf>
    <xf numFmtId="165" fontId="7" fillId="3" borderId="28" xfId="3" applyNumberFormat="1" applyFont="1" applyFill="1" applyBorder="1" applyAlignment="1">
      <alignment horizontal="right" vertical="center"/>
    </xf>
    <xf numFmtId="0" fontId="5" fillId="0" borderId="9" xfId="0" applyFont="1" applyBorder="1" applyAlignment="1">
      <alignment horizontal="left" vertical="center"/>
    </xf>
    <xf numFmtId="0" fontId="3" fillId="11" borderId="0" xfId="0" applyFont="1" applyFill="1"/>
    <xf numFmtId="0" fontId="3" fillId="0" borderId="0" xfId="0" applyFont="1"/>
    <xf numFmtId="0" fontId="6" fillId="0" borderId="0" xfId="0" applyFont="1" applyAlignment="1">
      <alignment horizontal="left" vertical="center" wrapText="1"/>
    </xf>
    <xf numFmtId="10" fontId="5" fillId="4" borderId="1" xfId="3" applyNumberFormat="1" applyFont="1" applyFill="1" applyBorder="1" applyAlignment="1">
      <alignment vertical="center"/>
    </xf>
    <xf numFmtId="0" fontId="10" fillId="0" borderId="0" xfId="0" applyFont="1" applyAlignment="1">
      <alignment horizontal="center"/>
    </xf>
    <xf numFmtId="0" fontId="0" fillId="0" borderId="0" xfId="0" applyAlignment="1">
      <alignment wrapText="1"/>
    </xf>
    <xf numFmtId="0" fontId="13" fillId="0" borderId="0" xfId="0" applyFont="1" applyAlignment="1">
      <alignment horizontal="center" vertical="center"/>
    </xf>
    <xf numFmtId="8" fontId="0" fillId="0" borderId="0" xfId="0" applyNumberFormat="1" applyAlignment="1">
      <alignment wrapText="1"/>
    </xf>
    <xf numFmtId="8" fontId="0" fillId="0" borderId="0" xfId="0" applyNumberFormat="1"/>
    <xf numFmtId="0" fontId="14" fillId="0" borderId="0" xfId="0" applyFont="1" applyAlignment="1">
      <alignment horizontal="center" vertical="center"/>
    </xf>
    <xf numFmtId="0" fontId="13" fillId="0" borderId="0" xfId="0" applyFont="1" applyAlignment="1">
      <alignment horizontal="left"/>
    </xf>
    <xf numFmtId="0" fontId="5" fillId="12" borderId="29" xfId="0" applyFont="1" applyFill="1" applyBorder="1" applyAlignment="1">
      <alignment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0" xfId="0" applyFont="1" applyAlignment="1">
      <alignment horizontal="center" vertical="center" wrapText="1"/>
    </xf>
    <xf numFmtId="0" fontId="5" fillId="12" borderId="10" xfId="0" applyFont="1" applyFill="1" applyBorder="1" applyAlignment="1">
      <alignment wrapText="1"/>
    </xf>
    <xf numFmtId="6" fontId="7" fillId="0" borderId="11" xfId="0" applyNumberFormat="1" applyFont="1" applyBorder="1" applyAlignment="1">
      <alignment horizontal="center" vertical="center" wrapText="1"/>
    </xf>
    <xf numFmtId="170" fontId="7" fillId="0" borderId="11" xfId="0" applyNumberFormat="1" applyFont="1" applyBorder="1" applyAlignment="1">
      <alignment horizontal="center" vertical="center" wrapText="1"/>
    </xf>
    <xf numFmtId="164" fontId="7" fillId="0" borderId="11" xfId="0" applyNumberFormat="1" applyFont="1" applyBorder="1" applyAlignment="1">
      <alignment horizontal="center" vertical="center" wrapText="1"/>
    </xf>
    <xf numFmtId="0" fontId="7" fillId="0" borderId="11" xfId="0" applyFont="1" applyBorder="1" applyAlignment="1">
      <alignment vertical="center" wrapText="1"/>
    </xf>
    <xf numFmtId="0" fontId="5" fillId="0" borderId="11" xfId="0" applyFont="1" applyBorder="1" applyAlignment="1">
      <alignment vertical="center" wrapText="1"/>
    </xf>
    <xf numFmtId="0" fontId="0" fillId="0" borderId="20" xfId="0" applyBorder="1" applyAlignment="1">
      <alignment horizontal="center"/>
    </xf>
    <xf numFmtId="0" fontId="0" fillId="0" borderId="0" xfId="0" applyAlignment="1">
      <alignment vertical="center" wrapText="1"/>
    </xf>
    <xf numFmtId="44" fontId="0" fillId="0" borderId="0" xfId="2" applyFont="1"/>
    <xf numFmtId="0" fontId="0" fillId="0" borderId="0" xfId="0" applyAlignment="1">
      <alignment horizontal="left"/>
    </xf>
    <xf numFmtId="0" fontId="7" fillId="12" borderId="6" xfId="0" applyFont="1" applyFill="1" applyBorder="1" applyAlignment="1">
      <alignment horizontal="left" vertical="center" wrapText="1"/>
    </xf>
    <xf numFmtId="6"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71" fontId="7" fillId="0" borderId="1" xfId="0" applyNumberFormat="1" applyFont="1" applyBorder="1" applyAlignment="1">
      <alignment horizontal="center"/>
    </xf>
    <xf numFmtId="0" fontId="0" fillId="0" borderId="21" xfId="0" applyBorder="1" applyAlignment="1">
      <alignment horizontal="center"/>
    </xf>
    <xf numFmtId="0" fontId="7" fillId="0" borderId="21" xfId="0" applyFont="1" applyBorder="1" applyAlignment="1">
      <alignment horizontal="center"/>
    </xf>
    <xf numFmtId="0" fontId="7" fillId="0" borderId="21" xfId="0" applyFont="1" applyBorder="1" applyAlignment="1">
      <alignment horizontal="center" vertical="center"/>
    </xf>
    <xf numFmtId="0" fontId="5" fillId="12" borderId="12" xfId="0" applyFont="1" applyFill="1" applyBorder="1" applyAlignment="1">
      <alignment horizontal="left" vertical="center" wrapText="1"/>
    </xf>
    <xf numFmtId="6" fontId="7" fillId="0" borderId="13" xfId="0" applyNumberFormat="1" applyFont="1" applyBorder="1" applyAlignment="1">
      <alignment horizontal="center" vertical="center" wrapText="1"/>
    </xf>
    <xf numFmtId="164" fontId="7" fillId="0" borderId="13" xfId="0" applyNumberFormat="1" applyFont="1" applyBorder="1" applyAlignment="1">
      <alignment horizontal="center" vertical="center" wrapText="1"/>
    </xf>
    <xf numFmtId="171" fontId="7" fillId="0" borderId="13" xfId="0" applyNumberFormat="1" applyFont="1" applyBorder="1" applyAlignment="1">
      <alignment horizontal="center" vertical="center" wrapText="1"/>
    </xf>
    <xf numFmtId="0" fontId="7" fillId="0" borderId="23" xfId="0" applyFont="1" applyBorder="1" applyAlignment="1">
      <alignment horizontal="center" vertical="center"/>
    </xf>
    <xf numFmtId="171" fontId="7" fillId="0" borderId="11" xfId="0" applyNumberFormat="1" applyFont="1" applyBorder="1" applyAlignment="1">
      <alignment horizontal="center" vertical="center" wrapText="1"/>
    </xf>
    <xf numFmtId="164" fontId="5" fillId="0" borderId="11" xfId="0" applyNumberFormat="1" applyFont="1" applyBorder="1" applyAlignment="1">
      <alignment horizontal="center" vertical="center" wrapText="1"/>
    </xf>
    <xf numFmtId="0" fontId="7" fillId="12" borderId="6" xfId="0" applyFont="1" applyFill="1" applyBorder="1" applyAlignment="1">
      <alignment wrapText="1"/>
    </xf>
    <xf numFmtId="0" fontId="7" fillId="12" borderId="14" xfId="0" applyFont="1" applyFill="1" applyBorder="1" applyAlignment="1">
      <alignment horizontal="left" vertical="center" wrapText="1"/>
    </xf>
    <xf numFmtId="6" fontId="7" fillId="0" borderId="5" xfId="0" applyNumberFormat="1" applyFont="1" applyBorder="1" applyAlignment="1">
      <alignment horizontal="center" vertical="center" wrapText="1"/>
    </xf>
    <xf numFmtId="164" fontId="7" fillId="0" borderId="4" xfId="0" applyNumberFormat="1" applyFont="1" applyBorder="1" applyAlignment="1">
      <alignment horizontal="center" vertical="center" wrapText="1"/>
    </xf>
    <xf numFmtId="171" fontId="7" fillId="0" borderId="5" xfId="0" applyNumberFormat="1" applyFont="1" applyBorder="1" applyAlignment="1">
      <alignment horizontal="center"/>
    </xf>
    <xf numFmtId="0" fontId="5" fillId="12" borderId="29" xfId="0" applyFont="1" applyFill="1" applyBorder="1" applyAlignment="1">
      <alignment horizontal="left" vertical="center" wrapText="1"/>
    </xf>
    <xf numFmtId="6" fontId="7" fillId="0" borderId="30" xfId="0" applyNumberFormat="1" applyFont="1" applyBorder="1" applyAlignment="1">
      <alignment horizontal="center" vertical="center" wrapText="1"/>
    </xf>
    <xf numFmtId="164" fontId="7" fillId="0" borderId="30" xfId="0" applyNumberFormat="1" applyFont="1" applyBorder="1" applyAlignment="1">
      <alignment horizontal="center" vertical="center" wrapText="1"/>
    </xf>
    <xf numFmtId="171" fontId="7" fillId="0" borderId="30" xfId="0" applyNumberFormat="1" applyFont="1" applyBorder="1" applyAlignment="1">
      <alignment horizontal="center"/>
    </xf>
    <xf numFmtId="0" fontId="7" fillId="0" borderId="31" xfId="0" applyFont="1" applyBorder="1" applyAlignment="1">
      <alignment horizontal="center" vertical="center"/>
    </xf>
    <xf numFmtId="0" fontId="7" fillId="0" borderId="9" xfId="0" applyFont="1" applyBorder="1" applyAlignment="1">
      <alignment vertical="center"/>
    </xf>
    <xf numFmtId="0" fontId="7" fillId="0" borderId="0" xfId="0" applyFont="1" applyAlignment="1">
      <alignment vertical="center" wrapText="1"/>
    </xf>
    <xf numFmtId="171" fontId="7" fillId="0" borderId="0" xfId="0" applyNumberFormat="1" applyFont="1" applyAlignment="1">
      <alignment vertical="center" wrapText="1"/>
    </xf>
    <xf numFmtId="0" fontId="7" fillId="5" borderId="35"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0" borderId="1" xfId="0" applyFont="1" applyBorder="1" applyAlignment="1">
      <alignment horizontal="left" vertical="center"/>
    </xf>
    <xf numFmtId="0" fontId="10" fillId="4" borderId="32" xfId="4" applyFill="1" applyBorder="1"/>
    <xf numFmtId="0" fontId="3" fillId="4" borderId="36" xfId="5" applyFont="1" applyFill="1" applyBorder="1" applyAlignment="1">
      <alignment vertical="center"/>
    </xf>
    <xf numFmtId="0" fontId="3" fillId="4" borderId="34" xfId="5" applyFont="1" applyFill="1" applyBorder="1" applyAlignment="1">
      <alignment vertical="center"/>
    </xf>
    <xf numFmtId="0" fontId="15" fillId="0" borderId="37" xfId="4" applyFont="1" applyBorder="1" applyAlignment="1">
      <alignment horizontal="center" vertical="center" wrapText="1"/>
    </xf>
    <xf numFmtId="0" fontId="15" fillId="0" borderId="38" xfId="4" applyFont="1" applyBorder="1" applyAlignment="1">
      <alignment horizontal="center" vertical="center" wrapText="1"/>
    </xf>
    <xf numFmtId="0" fontId="15" fillId="0" borderId="39" xfId="4" applyFont="1" applyBorder="1" applyAlignment="1">
      <alignment horizontal="center" vertical="center" wrapText="1"/>
    </xf>
    <xf numFmtId="0" fontId="16" fillId="0" borderId="32" xfId="6" applyBorder="1"/>
    <xf numFmtId="0" fontId="16" fillId="0" borderId="36" xfId="6" applyBorder="1" applyAlignment="1">
      <alignment wrapText="1"/>
    </xf>
    <xf numFmtId="0" fontId="16" fillId="0" borderId="34" xfId="6" applyBorder="1" applyAlignment="1">
      <alignment horizontal="center"/>
    </xf>
    <xf numFmtId="0" fontId="16" fillId="0" borderId="37" xfId="6" applyBorder="1"/>
    <xf numFmtId="0" fontId="16" fillId="0" borderId="40" xfId="6" applyBorder="1" applyAlignment="1">
      <alignment wrapText="1"/>
    </xf>
    <xf numFmtId="0" fontId="16" fillId="0" borderId="39" xfId="6" applyBorder="1" applyAlignment="1">
      <alignment horizontal="center"/>
    </xf>
    <xf numFmtId="0" fontId="10" fillId="0" borderId="32" xfId="4" applyBorder="1"/>
    <xf numFmtId="0" fontId="10" fillId="0" borderId="36" xfId="4" applyBorder="1"/>
    <xf numFmtId="0" fontId="10" fillId="0" borderId="34" xfId="4" applyBorder="1" applyAlignment="1">
      <alignment horizontal="center"/>
    </xf>
    <xf numFmtId="0" fontId="17" fillId="0" borderId="29" xfId="5" applyFont="1" applyBorder="1" applyAlignment="1">
      <alignment vertical="center"/>
    </xf>
    <xf numFmtId="0" fontId="17" fillId="0" borderId="30" xfId="5" applyFont="1" applyBorder="1" applyAlignment="1">
      <alignment horizontal="center" vertical="center"/>
    </xf>
    <xf numFmtId="0" fontId="17" fillId="0" borderId="31" xfId="5" applyFont="1" applyBorder="1" applyAlignment="1">
      <alignment horizontal="center" vertical="center" wrapText="1"/>
    </xf>
    <xf numFmtId="0" fontId="10" fillId="0" borderId="41" xfId="4" applyBorder="1" applyAlignment="1">
      <alignment vertical="center"/>
    </xf>
    <xf numFmtId="0" fontId="10" fillId="0" borderId="42" xfId="4" applyBorder="1" applyAlignment="1">
      <alignment vertical="center" wrapText="1"/>
    </xf>
    <xf numFmtId="0" fontId="10" fillId="0" borderId="41" xfId="4" applyBorder="1" applyAlignment="1">
      <alignment horizontal="center" vertical="center"/>
    </xf>
    <xf numFmtId="0" fontId="7" fillId="0" borderId="43" xfId="0" applyFont="1" applyBorder="1" applyAlignment="1">
      <alignment horizontal="left" vertical="center" wrapText="1"/>
    </xf>
    <xf numFmtId="164" fontId="8" fillId="0" borderId="5" xfId="0" applyNumberFormat="1" applyFont="1" applyBorder="1" applyAlignment="1">
      <alignment horizontal="right" vertical="center"/>
    </xf>
    <xf numFmtId="166" fontId="7" fillId="10" borderId="2" xfId="0" applyNumberFormat="1" applyFont="1" applyFill="1" applyBorder="1" applyAlignment="1">
      <alignment horizontal="right" vertical="center" wrapText="1"/>
    </xf>
    <xf numFmtId="168" fontId="7" fillId="10" borderId="24" xfId="0" applyNumberFormat="1" applyFont="1" applyFill="1" applyBorder="1" applyAlignment="1">
      <alignment horizontal="right" vertical="center"/>
    </xf>
    <xf numFmtId="0" fontId="0" fillId="10" borderId="25" xfId="0" applyFill="1" applyBorder="1"/>
    <xf numFmtId="0" fontId="12" fillId="0" borderId="27" xfId="0" applyFont="1" applyBorder="1" applyAlignment="1">
      <alignment horizontal="left"/>
    </xf>
    <xf numFmtId="0" fontId="12" fillId="0" borderId="28" xfId="0" applyFont="1" applyBorder="1" applyAlignment="1">
      <alignment horizontal="left"/>
    </xf>
    <xf numFmtId="0" fontId="5" fillId="0" borderId="2"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7" fillId="4" borderId="1" xfId="0" applyFont="1" applyFill="1" applyBorder="1" applyAlignment="1">
      <alignment horizontal="left" vertical="center"/>
    </xf>
    <xf numFmtId="0" fontId="8" fillId="0" borderId="1" xfId="0" applyFont="1" applyBorder="1" applyAlignment="1">
      <alignment horizontal="left" vertical="center"/>
    </xf>
    <xf numFmtId="0" fontId="5" fillId="0" borderId="2" xfId="0" applyFont="1" applyBorder="1" applyAlignment="1">
      <alignment horizontal="center" vertical="center"/>
    </xf>
    <xf numFmtId="0" fontId="5" fillId="0" borderId="25" xfId="0" applyFont="1" applyBorder="1" applyAlignment="1">
      <alignment horizontal="center" vertical="center"/>
    </xf>
    <xf numFmtId="0" fontId="5" fillId="0" borderId="24" xfId="0" applyFont="1" applyBorder="1" applyAlignment="1">
      <alignment horizontal="center" vertical="center"/>
    </xf>
    <xf numFmtId="165" fontId="7" fillId="0" borderId="2" xfId="0" applyNumberFormat="1" applyFont="1" applyBorder="1" applyAlignment="1">
      <alignment horizontal="center" vertical="center"/>
    </xf>
    <xf numFmtId="165" fontId="7" fillId="0" borderId="25" xfId="0" applyNumberFormat="1" applyFont="1" applyBorder="1" applyAlignment="1">
      <alignment horizontal="center" vertical="center"/>
    </xf>
    <xf numFmtId="165" fontId="7" fillId="0" borderId="2" xfId="0" applyNumberFormat="1" applyFont="1" applyBorder="1" applyAlignment="1">
      <alignment horizontal="center" vertical="center" wrapText="1"/>
    </xf>
    <xf numFmtId="165" fontId="7" fillId="0" borderId="24" xfId="0" applyNumberFormat="1" applyFont="1" applyBorder="1" applyAlignment="1">
      <alignment horizontal="center" vertical="center" wrapText="1"/>
    </xf>
    <xf numFmtId="165" fontId="7" fillId="0" borderId="25" xfId="0" applyNumberFormat="1" applyFont="1" applyBorder="1" applyAlignment="1">
      <alignment horizontal="center" vertical="center" wrapText="1"/>
    </xf>
    <xf numFmtId="165" fontId="7" fillId="0" borderId="2" xfId="0" applyNumberFormat="1" applyFont="1" applyBorder="1" applyAlignment="1">
      <alignment horizontal="center" vertical="top" wrapText="1"/>
    </xf>
    <xf numFmtId="165" fontId="7" fillId="0" borderId="24" xfId="0" applyNumberFormat="1" applyFont="1" applyBorder="1" applyAlignment="1">
      <alignment horizontal="center" vertical="top" wrapText="1"/>
    </xf>
    <xf numFmtId="165" fontId="7" fillId="0" borderId="25" xfId="0" applyNumberFormat="1" applyFont="1" applyBorder="1" applyAlignment="1">
      <alignment horizontal="center" vertical="top" wrapText="1"/>
    </xf>
    <xf numFmtId="165" fontId="7" fillId="0" borderId="2" xfId="0" quotePrefix="1" applyNumberFormat="1" applyFont="1" applyBorder="1" applyAlignment="1">
      <alignment horizontal="center" vertical="center" wrapText="1"/>
    </xf>
    <xf numFmtId="165" fontId="7" fillId="0" borderId="24" xfId="0" quotePrefix="1" applyNumberFormat="1" applyFont="1" applyBorder="1" applyAlignment="1">
      <alignment horizontal="center" vertical="center" wrapText="1"/>
    </xf>
    <xf numFmtId="165" fontId="7" fillId="0" borderId="25" xfId="0" quotePrefix="1" applyNumberFormat="1" applyFont="1" applyBorder="1" applyAlignment="1">
      <alignment horizontal="center" vertical="center" wrapText="1"/>
    </xf>
    <xf numFmtId="165" fontId="7" fillId="0" borderId="24" xfId="0" applyNumberFormat="1" applyFont="1" applyBorder="1" applyAlignment="1">
      <alignment horizontal="center" vertical="center"/>
    </xf>
    <xf numFmtId="14" fontId="2" fillId="0" borderId="2" xfId="0" applyNumberFormat="1" applyFont="1" applyBorder="1" applyAlignment="1">
      <alignment horizontal="left"/>
    </xf>
    <xf numFmtId="14" fontId="2" fillId="0" borderId="24" xfId="0" applyNumberFormat="1" applyFont="1" applyBorder="1" applyAlignment="1">
      <alignment horizontal="left"/>
    </xf>
    <xf numFmtId="14" fontId="2" fillId="0" borderId="25" xfId="0" applyNumberFormat="1" applyFont="1" applyBorder="1" applyAlignment="1">
      <alignment horizontal="left"/>
    </xf>
    <xf numFmtId="0" fontId="2" fillId="0" borderId="1" xfId="0" applyFont="1" applyBorder="1" applyAlignment="1">
      <alignment horizontal="left"/>
    </xf>
    <xf numFmtId="0" fontId="2" fillId="0" borderId="24" xfId="0" applyFont="1" applyBorder="1" applyAlignment="1">
      <alignment horizontal="left"/>
    </xf>
    <xf numFmtId="0" fontId="2" fillId="0" borderId="25" xfId="0" applyFont="1" applyBorder="1" applyAlignment="1">
      <alignment horizontal="left"/>
    </xf>
    <xf numFmtId="0" fontId="7" fillId="0" borderId="1" xfId="0" applyFont="1" applyBorder="1" applyAlignment="1">
      <alignment horizontal="left" vertical="center"/>
    </xf>
    <xf numFmtId="0" fontId="7" fillId="2" borderId="32" xfId="0" applyFont="1" applyFill="1" applyBorder="1" applyAlignment="1">
      <alignment horizontal="left" vertical="center" wrapText="1"/>
    </xf>
    <xf numFmtId="0" fontId="7" fillId="2" borderId="33" xfId="0" applyFont="1" applyFill="1" applyBorder="1" applyAlignment="1">
      <alignment horizontal="left" vertical="center" wrapText="1"/>
    </xf>
    <xf numFmtId="0" fontId="7" fillId="2" borderId="34" xfId="0" applyFont="1" applyFill="1" applyBorder="1" applyAlignment="1">
      <alignment horizontal="left" vertical="center" wrapText="1"/>
    </xf>
    <xf numFmtId="0" fontId="7" fillId="0" borderId="1" xfId="0" applyFont="1" applyBorder="1" applyAlignment="1">
      <alignment vertical="center"/>
    </xf>
    <xf numFmtId="0" fontId="3" fillId="4" borderId="32" xfId="7" applyFont="1" applyFill="1" applyBorder="1" applyAlignment="1">
      <alignment horizontal="center" vertical="center"/>
    </xf>
    <xf numFmtId="0" fontId="3" fillId="4" borderId="33" xfId="7" applyFont="1" applyFill="1" applyBorder="1" applyAlignment="1">
      <alignment horizontal="center" vertical="center"/>
    </xf>
    <xf numFmtId="0" fontId="3" fillId="4" borderId="34" xfId="7" applyFont="1" applyFill="1" applyBorder="1" applyAlignment="1">
      <alignment horizontal="center" vertical="center"/>
    </xf>
  </cellXfs>
  <cellStyles count="8">
    <cellStyle name="Comma" xfId="1" builtinId="3"/>
    <cellStyle name="Currency" xfId="2" builtinId="4"/>
    <cellStyle name="Normal" xfId="0" builtinId="0"/>
    <cellStyle name="Normal 2" xfId="4" xr:uid="{A8007723-3064-4687-968C-436D6FF8AA8D}"/>
    <cellStyle name="Normal 2 2 2" xfId="7" xr:uid="{D080145D-8950-4C04-AB08-A7FB27D332FC}"/>
    <cellStyle name="Normal 2 2 3" xfId="5" xr:uid="{89C009F8-AA57-4D62-A6B0-6477382D60AF}"/>
    <cellStyle name="Normal 3" xfId="6" xr:uid="{8ECEC40D-034A-48DA-8F51-D4A32D8E2256}"/>
    <cellStyle name="Percent" xfId="3" builtinId="5"/>
  </cellStyles>
  <dxfs count="1">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9B78-0F65-4834-9293-368D3347C538}">
  <sheetPr codeName="Sheet2"/>
  <dimension ref="A1:AJ106"/>
  <sheetViews>
    <sheetView tabSelected="1" zoomScale="70" zoomScaleNormal="70" workbookViewId="0"/>
  </sheetViews>
  <sheetFormatPr defaultRowHeight="15"/>
  <cols>
    <col min="1" max="1" width="60.85546875" customWidth="1"/>
    <col min="2" max="10" width="16.85546875" customWidth="1"/>
    <col min="11" max="11" width="21" bestFit="1" customWidth="1"/>
    <col min="12" max="15" width="16.85546875" customWidth="1"/>
    <col min="16" max="18" width="17" customWidth="1"/>
    <col min="20" max="20" width="12.5703125" bestFit="1" customWidth="1"/>
    <col min="21" max="21" width="11.7109375" bestFit="1" customWidth="1"/>
    <col min="26" max="26" width="11.140625" bestFit="1" customWidth="1"/>
  </cols>
  <sheetData>
    <row r="1" spans="1:20" ht="18">
      <c r="A1" s="1" t="s">
        <v>0</v>
      </c>
      <c r="B1" s="1"/>
      <c r="C1" s="2"/>
      <c r="D1" s="3">
        <v>46230</v>
      </c>
      <c r="E1" s="4"/>
      <c r="F1" s="5"/>
      <c r="G1" s="6"/>
      <c r="H1" s="7"/>
      <c r="I1" s="8" t="s">
        <v>1</v>
      </c>
      <c r="J1" s="9" t="s">
        <v>1</v>
      </c>
    </row>
    <row r="2" spans="1:20" ht="15.75">
      <c r="A2" s="10" t="s">
        <v>1</v>
      </c>
      <c r="B2" s="11"/>
      <c r="C2" s="11"/>
      <c r="D2" s="11"/>
      <c r="E2" s="11"/>
      <c r="F2" s="11"/>
      <c r="G2" s="11"/>
      <c r="H2" s="11"/>
      <c r="I2" s="9" t="s">
        <v>1</v>
      </c>
      <c r="J2" s="12" t="s">
        <v>1</v>
      </c>
      <c r="K2" s="13" t="s">
        <v>1</v>
      </c>
      <c r="L2" s="13"/>
      <c r="M2" s="11" t="s">
        <v>1</v>
      </c>
      <c r="N2" s="13"/>
    </row>
    <row r="3" spans="1:20" ht="18">
      <c r="A3" s="14" t="s">
        <v>1</v>
      </c>
      <c r="B3" s="15" t="s">
        <v>2</v>
      </c>
      <c r="C3" s="215" t="s">
        <v>3</v>
      </c>
      <c r="D3" s="215"/>
      <c r="E3" s="215"/>
      <c r="F3" s="215"/>
      <c r="G3" s="215"/>
      <c r="H3" s="215"/>
      <c r="I3" s="215"/>
      <c r="J3" s="215"/>
      <c r="K3" s="215"/>
      <c r="L3" s="215"/>
      <c r="M3" s="215"/>
      <c r="N3" s="215"/>
      <c r="O3" s="215"/>
      <c r="P3" s="215"/>
      <c r="Q3" s="215"/>
      <c r="R3" s="215"/>
    </row>
    <row r="4" spans="1:20" ht="15" customHeight="1">
      <c r="A4" s="14" t="s">
        <v>4</v>
      </c>
      <c r="B4" s="16">
        <v>0.2</v>
      </c>
      <c r="C4" s="218" t="s">
        <v>5</v>
      </c>
      <c r="D4" s="218"/>
      <c r="E4" s="218"/>
      <c r="F4" s="218"/>
      <c r="G4" s="218"/>
      <c r="H4" s="218"/>
      <c r="I4" s="218"/>
      <c r="J4" s="218"/>
      <c r="K4" s="218"/>
      <c r="L4" s="218"/>
      <c r="M4" s="218"/>
      <c r="N4" s="218"/>
      <c r="O4" s="218"/>
      <c r="P4" s="218"/>
      <c r="Q4" s="218"/>
      <c r="R4" s="218"/>
    </row>
    <row r="5" spans="1:20" ht="15" customHeight="1">
      <c r="A5" s="14" t="s">
        <v>6</v>
      </c>
      <c r="B5" s="16">
        <v>0.78339999999999999</v>
      </c>
      <c r="C5" s="218" t="s">
        <v>7</v>
      </c>
      <c r="D5" s="218"/>
      <c r="E5" s="218"/>
      <c r="F5" s="218"/>
      <c r="G5" s="218"/>
      <c r="H5" s="218"/>
      <c r="I5" s="218"/>
      <c r="J5" s="218"/>
      <c r="K5" s="218"/>
      <c r="L5" s="218"/>
      <c r="M5" s="218"/>
      <c r="N5" s="218"/>
      <c r="O5" s="218"/>
      <c r="P5" s="218"/>
      <c r="Q5" s="218"/>
      <c r="R5" s="218"/>
    </row>
    <row r="6" spans="1:20" ht="15" customHeight="1">
      <c r="A6" s="14" t="s">
        <v>8</v>
      </c>
      <c r="B6" s="18">
        <v>0.79</v>
      </c>
      <c r="C6" s="17"/>
      <c r="D6" s="17"/>
      <c r="E6" s="17"/>
      <c r="F6" s="17"/>
      <c r="G6" s="17"/>
      <c r="H6" s="17"/>
      <c r="I6" s="17"/>
      <c r="J6" s="17"/>
      <c r="K6" s="17"/>
      <c r="L6" s="17"/>
      <c r="M6" s="17"/>
      <c r="N6" s="17"/>
      <c r="O6" s="17"/>
      <c r="P6" s="17"/>
      <c r="Q6" s="17"/>
      <c r="R6" s="17"/>
    </row>
    <row r="7" spans="1:20" ht="15" customHeight="1">
      <c r="A7" s="14" t="s">
        <v>9</v>
      </c>
      <c r="B7" s="19">
        <v>0.94010000000000005</v>
      </c>
      <c r="C7" s="218" t="s">
        <v>7</v>
      </c>
      <c r="D7" s="218"/>
      <c r="E7" s="218"/>
      <c r="F7" s="218"/>
      <c r="G7" s="218"/>
      <c r="H7" s="218"/>
      <c r="I7" s="218"/>
      <c r="J7" s="218"/>
      <c r="K7" s="218"/>
      <c r="L7" s="218"/>
      <c r="M7" s="218"/>
      <c r="N7" s="218"/>
      <c r="O7" s="218"/>
      <c r="P7" s="218"/>
      <c r="Q7" s="218"/>
      <c r="R7" s="218"/>
    </row>
    <row r="8" spans="1:20" ht="15" customHeight="1">
      <c r="A8" s="14" t="s">
        <v>10</v>
      </c>
      <c r="B8" s="20">
        <v>165953.5</v>
      </c>
      <c r="C8" s="219" t="s">
        <v>11</v>
      </c>
      <c r="D8" s="219"/>
      <c r="E8" s="219"/>
      <c r="F8" s="219"/>
      <c r="G8" s="219"/>
      <c r="H8" s="219"/>
      <c r="I8" s="219"/>
      <c r="J8" s="219"/>
      <c r="K8" s="219"/>
      <c r="L8" s="219"/>
      <c r="M8" s="219"/>
      <c r="N8" s="219"/>
      <c r="O8" s="219"/>
      <c r="P8" s="219"/>
      <c r="Q8" s="219"/>
      <c r="R8" s="219"/>
    </row>
    <row r="9" spans="1:20" ht="15" customHeight="1">
      <c r="A9" s="14" t="s">
        <v>164</v>
      </c>
      <c r="B9" s="20">
        <v>256.75</v>
      </c>
      <c r="C9" s="176" t="s">
        <v>165</v>
      </c>
      <c r="D9" s="176"/>
      <c r="E9" s="176"/>
      <c r="F9" s="176"/>
      <c r="G9" s="176"/>
      <c r="H9" s="176"/>
      <c r="I9" s="176"/>
      <c r="J9" s="176"/>
      <c r="K9" s="176"/>
      <c r="L9" s="176"/>
      <c r="M9" s="176"/>
      <c r="N9" s="176"/>
      <c r="O9" s="176"/>
      <c r="P9" s="176"/>
      <c r="Q9" s="176"/>
      <c r="R9" s="176"/>
    </row>
    <row r="10" spans="1:20" ht="15" customHeight="1">
      <c r="A10" s="14" t="s">
        <v>166</v>
      </c>
      <c r="B10" s="20">
        <v>138.25</v>
      </c>
      <c r="C10" s="176" t="s">
        <v>165</v>
      </c>
      <c r="D10" s="176"/>
      <c r="E10" s="176"/>
      <c r="F10" s="176"/>
      <c r="G10" s="176"/>
      <c r="H10" s="176"/>
      <c r="I10" s="176"/>
      <c r="J10" s="176"/>
      <c r="K10" s="176"/>
      <c r="L10" s="176"/>
      <c r="M10" s="176"/>
      <c r="N10" s="176"/>
      <c r="O10" s="176"/>
      <c r="P10" s="176"/>
      <c r="Q10" s="176"/>
      <c r="R10" s="176"/>
    </row>
    <row r="11" spans="1:20" ht="15.75" customHeight="1">
      <c r="A11" s="14" t="s">
        <v>1</v>
      </c>
      <c r="B11" s="21" t="s">
        <v>1</v>
      </c>
      <c r="C11" s="213" t="s">
        <v>12</v>
      </c>
      <c r="D11" s="213"/>
      <c r="E11" s="213"/>
      <c r="F11" s="213"/>
      <c r="G11" s="213"/>
      <c r="H11" s="213"/>
      <c r="I11" s="213"/>
      <c r="J11" s="213"/>
      <c r="K11" s="213"/>
      <c r="L11" s="213"/>
      <c r="M11" s="213"/>
      <c r="N11" s="213"/>
      <c r="O11" s="213"/>
      <c r="P11" s="213"/>
      <c r="Q11" s="213"/>
      <c r="R11" s="213"/>
    </row>
    <row r="12" spans="1:20" ht="15.75">
      <c r="A12" s="23" t="s">
        <v>1</v>
      </c>
      <c r="B12" s="24" t="s">
        <v>2</v>
      </c>
      <c r="C12" s="24" t="s">
        <v>13</v>
      </c>
      <c r="D12" s="24" t="s">
        <v>14</v>
      </c>
      <c r="E12" s="24" t="s">
        <v>15</v>
      </c>
      <c r="F12" s="24" t="s">
        <v>16</v>
      </c>
      <c r="G12" s="24" t="s">
        <v>17</v>
      </c>
      <c r="H12" s="24" t="s">
        <v>18</v>
      </c>
      <c r="I12" s="24" t="s">
        <v>19</v>
      </c>
      <c r="J12" s="24" t="s">
        <v>20</v>
      </c>
      <c r="K12" s="24" t="s">
        <v>21</v>
      </c>
      <c r="L12" s="24" t="s">
        <v>22</v>
      </c>
      <c r="M12" s="24" t="s">
        <v>23</v>
      </c>
      <c r="N12" s="24" t="s">
        <v>24</v>
      </c>
      <c r="O12" s="24" t="s">
        <v>25</v>
      </c>
      <c r="P12" s="24" t="s">
        <v>26</v>
      </c>
      <c r="Q12" s="25" t="s">
        <v>27</v>
      </c>
      <c r="R12" s="26" t="s">
        <v>28</v>
      </c>
    </row>
    <row r="13" spans="1:20">
      <c r="A13" s="27" t="s">
        <v>29</v>
      </c>
      <c r="B13" s="28" t="s">
        <v>30</v>
      </c>
      <c r="C13" s="29">
        <v>-187</v>
      </c>
      <c r="D13" s="29">
        <v>5903</v>
      </c>
      <c r="E13" s="29">
        <v>6131</v>
      </c>
      <c r="F13" s="29">
        <v>6481</v>
      </c>
      <c r="G13" s="29">
        <v>2712</v>
      </c>
      <c r="H13" s="29">
        <v>1654</v>
      </c>
      <c r="I13" s="29">
        <v>3888</v>
      </c>
      <c r="J13" s="29">
        <v>3910</v>
      </c>
      <c r="K13" s="29">
        <v>3534</v>
      </c>
      <c r="L13" s="29">
        <v>1267</v>
      </c>
      <c r="M13" s="29">
        <v>4568</v>
      </c>
      <c r="N13" s="29">
        <v>1187</v>
      </c>
      <c r="O13" s="29">
        <v>2785</v>
      </c>
      <c r="P13" s="29">
        <v>2800</v>
      </c>
      <c r="Q13" s="29">
        <v>7758</v>
      </c>
      <c r="R13" s="29">
        <v>3628</v>
      </c>
    </row>
    <row r="14" spans="1:20">
      <c r="A14" s="27" t="s">
        <v>31</v>
      </c>
      <c r="B14" s="28" t="s">
        <v>30</v>
      </c>
      <c r="C14" s="29">
        <v>1318</v>
      </c>
      <c r="D14" s="29">
        <v>6904</v>
      </c>
      <c r="E14" s="29">
        <v>5862</v>
      </c>
      <c r="F14" s="29">
        <v>8873</v>
      </c>
      <c r="G14" s="29">
        <v>4656</v>
      </c>
      <c r="H14" s="29">
        <v>2005</v>
      </c>
      <c r="I14" s="29">
        <v>5770</v>
      </c>
      <c r="J14" s="29">
        <v>11803</v>
      </c>
      <c r="K14" s="29">
        <v>5430</v>
      </c>
      <c r="L14" s="29">
        <v>1586</v>
      </c>
      <c r="M14" s="29">
        <v>5658</v>
      </c>
      <c r="N14" s="29">
        <v>5312</v>
      </c>
      <c r="O14" s="29">
        <v>4432</v>
      </c>
      <c r="P14" s="29">
        <v>5934</v>
      </c>
      <c r="Q14" s="29">
        <v>5992</v>
      </c>
      <c r="R14" s="29">
        <v>5312</v>
      </c>
    </row>
    <row r="15" spans="1:20">
      <c r="A15" s="30" t="s">
        <v>32</v>
      </c>
      <c r="B15" s="28">
        <f>B8*B7</f>
        <v>156012.88535</v>
      </c>
      <c r="C15" s="29">
        <v>54479.4</v>
      </c>
      <c r="D15" s="29">
        <v>31225.9</v>
      </c>
      <c r="E15" s="29">
        <v>13327</v>
      </c>
      <c r="F15" s="29">
        <v>10851.1</v>
      </c>
      <c r="G15" s="29">
        <v>5230.7</v>
      </c>
      <c r="H15" s="29">
        <v>2683.9</v>
      </c>
      <c r="I15" s="29">
        <v>6488.6</v>
      </c>
      <c r="J15" s="29">
        <v>12544.3</v>
      </c>
      <c r="K15" s="29">
        <v>5212</v>
      </c>
      <c r="L15" s="29">
        <v>22817.200000000001</v>
      </c>
      <c r="M15" s="29">
        <v>6991.2</v>
      </c>
      <c r="N15" s="29">
        <v>10154.9999999999</v>
      </c>
      <c r="O15" s="29">
        <v>3792.1</v>
      </c>
      <c r="P15" s="29">
        <v>5661.1</v>
      </c>
      <c r="Q15" s="29">
        <v>30015.5</v>
      </c>
      <c r="R15" s="29">
        <v>6258.2</v>
      </c>
    </row>
    <row r="16" spans="1:20">
      <c r="A16" s="27" t="s">
        <v>33</v>
      </c>
      <c r="B16" s="31">
        <f>J51</f>
        <v>11555.999999999998</v>
      </c>
      <c r="C16" s="32">
        <f>J79</f>
        <v>0</v>
      </c>
      <c r="D16" s="32">
        <f>J76</f>
        <v>0</v>
      </c>
      <c r="E16" s="32">
        <f>J77</f>
        <v>0</v>
      </c>
      <c r="F16" s="32">
        <f>J73</f>
        <v>0</v>
      </c>
      <c r="G16" s="32">
        <f>J74</f>
        <v>0</v>
      </c>
      <c r="H16" s="32">
        <f>J64</f>
        <v>0</v>
      </c>
      <c r="I16" s="32">
        <f>J71</f>
        <v>0</v>
      </c>
      <c r="J16" s="32">
        <f>J55</f>
        <v>0</v>
      </c>
      <c r="K16" s="32">
        <f>J56</f>
        <v>0</v>
      </c>
      <c r="L16" s="31">
        <f>J58</f>
        <v>0</v>
      </c>
      <c r="M16" s="32">
        <f>J57</f>
        <v>0</v>
      </c>
      <c r="N16" s="32">
        <f>J72</f>
        <v>0</v>
      </c>
      <c r="O16" s="32">
        <f>J59</f>
        <v>0</v>
      </c>
      <c r="P16" s="31">
        <f>J60</f>
        <v>0</v>
      </c>
      <c r="Q16" s="31">
        <f>J62</f>
        <v>0</v>
      </c>
      <c r="R16" s="31">
        <f>J66</f>
        <v>0</v>
      </c>
      <c r="T16" s="33"/>
    </row>
    <row r="17" spans="1:36">
      <c r="A17" s="27" t="s">
        <v>34</v>
      </c>
      <c r="B17" s="31">
        <f>ROUND(B16*$B$7,1)</f>
        <v>10863.8</v>
      </c>
      <c r="C17" s="32">
        <f t="shared" ref="C17:R17" si="0">ROUND(C16*$B$7,1)</f>
        <v>0</v>
      </c>
      <c r="D17" s="32">
        <f t="shared" si="0"/>
        <v>0</v>
      </c>
      <c r="E17" s="32">
        <f t="shared" si="0"/>
        <v>0</v>
      </c>
      <c r="F17" s="32">
        <f t="shared" si="0"/>
        <v>0</v>
      </c>
      <c r="G17" s="32">
        <f t="shared" si="0"/>
        <v>0</v>
      </c>
      <c r="H17" s="32">
        <f t="shared" si="0"/>
        <v>0</v>
      </c>
      <c r="I17" s="32">
        <f t="shared" si="0"/>
        <v>0</v>
      </c>
      <c r="J17" s="32">
        <f t="shared" si="0"/>
        <v>0</v>
      </c>
      <c r="K17" s="32">
        <f t="shared" si="0"/>
        <v>0</v>
      </c>
      <c r="L17" s="31">
        <f t="shared" si="0"/>
        <v>0</v>
      </c>
      <c r="M17" s="32">
        <f t="shared" si="0"/>
        <v>0</v>
      </c>
      <c r="N17" s="32">
        <f t="shared" si="0"/>
        <v>0</v>
      </c>
      <c r="O17" s="32">
        <f t="shared" si="0"/>
        <v>0</v>
      </c>
      <c r="P17" s="31">
        <f>ROUND(P16*$B$7,1)</f>
        <v>0</v>
      </c>
      <c r="Q17" s="31">
        <f t="shared" si="0"/>
        <v>0</v>
      </c>
      <c r="R17" s="31">
        <f t="shared" si="0"/>
        <v>0</v>
      </c>
      <c r="S17" s="34"/>
    </row>
    <row r="18" spans="1:36" ht="15.75">
      <c r="A18" s="35" t="s">
        <v>35</v>
      </c>
      <c r="B18" s="36">
        <f>B15-B17</f>
        <v>145149.08535000001</v>
      </c>
      <c r="C18" s="36">
        <f>C15-C17*C46</f>
        <v>54479.4</v>
      </c>
      <c r="D18" s="36">
        <f>D15-D17*D46</f>
        <v>31225.9</v>
      </c>
      <c r="E18" s="36">
        <f>E15-E17*E46</f>
        <v>13327</v>
      </c>
      <c r="F18" s="36">
        <f t="shared" ref="F18:L18" si="1">F15-F17</f>
        <v>10851.1</v>
      </c>
      <c r="G18" s="36">
        <f t="shared" si="1"/>
        <v>5230.7</v>
      </c>
      <c r="H18" s="36">
        <f>H15-H17</f>
        <v>2683.9</v>
      </c>
      <c r="I18" s="36">
        <f t="shared" si="1"/>
        <v>6488.6</v>
      </c>
      <c r="J18" s="36">
        <f t="shared" si="1"/>
        <v>12544.3</v>
      </c>
      <c r="K18" s="36">
        <f t="shared" si="1"/>
        <v>5212</v>
      </c>
      <c r="L18" s="36">
        <f t="shared" si="1"/>
        <v>22817.200000000001</v>
      </c>
      <c r="M18" s="36">
        <f>M15-M17*M46</f>
        <v>6991.2</v>
      </c>
      <c r="N18" s="36">
        <f>N15-N17</f>
        <v>10154.9999999999</v>
      </c>
      <c r="O18" s="36">
        <f>O15-O17</f>
        <v>3792.1</v>
      </c>
      <c r="P18" s="36">
        <f>P15-P17</f>
        <v>5661.1</v>
      </c>
      <c r="Q18" s="36">
        <f>Q15-Q17*Q46</f>
        <v>30015.5</v>
      </c>
      <c r="R18" s="36">
        <f>R15-R17</f>
        <v>6258.2</v>
      </c>
    </row>
    <row r="19" spans="1:36">
      <c r="A19" s="37" t="s">
        <v>36</v>
      </c>
      <c r="B19" s="38">
        <f>'Net CONE'!E41</f>
        <v>776.14</v>
      </c>
      <c r="C19" s="38">
        <f>'Net CONE'!E28</f>
        <v>756.66</v>
      </c>
      <c r="D19" s="38">
        <f>'Net CONE'!E19</f>
        <v>756.03</v>
      </c>
      <c r="E19" s="38">
        <f>'Net CONE'!E23</f>
        <v>769.9</v>
      </c>
      <c r="F19" s="38">
        <f>'Net CONE'!E17</f>
        <v>756.03</v>
      </c>
      <c r="G19" s="38">
        <f>'Net CONE'!E17</f>
        <v>756.03</v>
      </c>
      <c r="H19" s="38">
        <f>'Net CONE'!E14</f>
        <v>756.03</v>
      </c>
      <c r="I19" s="38">
        <f>'Net CONE'!E22</f>
        <v>769.9</v>
      </c>
      <c r="J19" s="38">
        <f>'Net CONE'!E32</f>
        <v>745.62</v>
      </c>
      <c r="K19" s="38">
        <f>'Net CONE'!E32</f>
        <v>745.62</v>
      </c>
      <c r="L19" s="38">
        <f>'Net CONE'!E40</f>
        <v>860.07</v>
      </c>
      <c r="M19" s="38">
        <f>'Net CONE'!E21</f>
        <v>769.9</v>
      </c>
      <c r="N19" s="38">
        <f>'Net CONE'!E27</f>
        <v>749.09</v>
      </c>
      <c r="O19" s="38">
        <f>'Net CONE'!E33</f>
        <v>745.62</v>
      </c>
      <c r="P19" s="38">
        <f>'Net CONE'!E34</f>
        <v>745.62</v>
      </c>
      <c r="Q19" s="38">
        <f>'Net CONE'!E36</f>
        <v>745.62</v>
      </c>
      <c r="R19" s="38">
        <f>'Net CONE'!E15</f>
        <v>756.03</v>
      </c>
    </row>
    <row r="20" spans="1:36">
      <c r="A20" s="37" t="s">
        <v>37</v>
      </c>
      <c r="B20" s="38">
        <f>_xlfn.XLOOKUP(B12,'Net CONE'!$A$12:$A$41,'Net CONE'!$G$12:$G$41,0)/(DATE(LEFT($A$1,4)*1+1,5,31)-(DATE(LEFT($A$1,4)*1,6,1))+1)</f>
        <v>450.44810126582274</v>
      </c>
      <c r="C20" s="38">
        <f>_xlfn.XLOOKUP(C12,'Net CONE'!$A$12:$A$41,'Net CONE'!$G$12:$G$41,0)/(DATE(LEFT($A$1,4)*1+1,5,31)-(DATE(LEFT($A$1,4)*1,6,1))+1)</f>
        <v>327.02151898734178</v>
      </c>
      <c r="D20" s="38">
        <f>_xlfn.XLOOKUP(D12,'Net CONE'!$A$12:$A$41,'Net CONE'!$G$12:$G$41,0)/(DATE(LEFT($A$1,4)*1+1,5,31)-(DATE(LEFT($A$1,4)*1,6,1))+1)</f>
        <v>214.27151898734172</v>
      </c>
      <c r="E20" s="38">
        <f>_xlfn.XLOOKUP(E12,'Net CONE'!$A$12:$A$41,'Net CONE'!$G$12:$G$41,0)/(DATE(LEFT($A$1,4)*1+1,5,31)-(DATE(LEFT($A$1,4)*1,6,1))+1)</f>
        <v>450.15151898734172</v>
      </c>
      <c r="F20" s="38">
        <f>_xlfn.XLOOKUP("PSEG",'Net CONE'!$A$12:$A$41,'Net CONE'!$G$12:$G$41,0)/(DATE(LEFT($A$1,4)*1+1,5,31)-(DATE(LEFT($A$1,4)*1,6,1))+1)</f>
        <v>158.68354430379748</v>
      </c>
      <c r="G20" s="38">
        <f>_xlfn.XLOOKUP("PSEG",'Net CONE'!$A$12:$A$41,'Net CONE'!$G$12:$G$41,0)/(DATE(LEFT($A$1,4)*1+1,5,31)-(DATE(LEFT($A$1,4)*1,6,1))+1)</f>
        <v>158.68354430379748</v>
      </c>
      <c r="H20" s="38">
        <f>_xlfn.XLOOKUP("DPL",'Net CONE'!$A$12:$A$41,'Net CONE'!$G$12:$G$41,0)/(DATE(LEFT($A$1,4)*1+1,5,31)-(DATE(LEFT($A$1,4)*1,6,1))+1)</f>
        <v>334.27848101265823</v>
      </c>
      <c r="I20" s="38">
        <f>_xlfn.XLOOKUP(I12,'Net CONE'!$A$12:$A$41,'Net CONE'!$G$12:$G$41,0)/(DATE(LEFT($A$1,4)*1+1,5,31)-(DATE(LEFT($A$1,4)*1,6,1))+1)</f>
        <v>368.81012658227854</v>
      </c>
      <c r="J20" s="38">
        <f>_xlfn.XLOOKUP(J12,'Net CONE'!$A$12:$A$41,'Net CONE'!$G$12:$G$41,0)/(DATE(LEFT($A$1,4)*1+1,5,31)-(DATE(LEFT($A$1,4)*1,6,1))+1)</f>
        <v>436.40506329113924</v>
      </c>
      <c r="K20" s="38">
        <f>_xlfn.XLOOKUP("ATSI",'Net CONE'!$A$12:$A$41,'Net CONE'!$G$12:$G$41,0)/(DATE(LEFT($A$1,4)*1+1,5,31)-(DATE(LEFT($A$1,4)*1,6,1))+1)</f>
        <v>436.40506329113924</v>
      </c>
      <c r="L20" s="38">
        <f>_xlfn.XLOOKUP(L12,'Net CONE'!$A$12:$A$41,'Net CONE'!$G$12:$G$41,0)/(DATE(LEFT($A$1,4)*1+1,5,31)-(DATE(LEFT($A$1,4)*1,6,1))+1)</f>
        <v>283.18987341772151</v>
      </c>
      <c r="M20" s="38">
        <f>_xlfn.XLOOKUP(M12,'Net CONE'!$A$12:$A$41,'Net CONE'!$G$12:$G$41,0)/(DATE(LEFT($A$1,4)*1+1,5,31)-(DATE(LEFT($A$1,4)*1,6,1))+1)</f>
        <v>490.21518987341767</v>
      </c>
      <c r="N20" s="38">
        <f>_xlfn.XLOOKUP("PPL",'Net CONE'!$A$12:$A$41,'Net CONE'!$G$12:$G$41,0)/(DATE(LEFT($A$1,4)*1+1,5,31)-(DATE(LEFT($A$1,4)*1,6,1))+1)</f>
        <v>265.31645569620252</v>
      </c>
      <c r="O20" s="38">
        <f>_xlfn.XLOOKUP(O12,'Net CONE'!$A$12:$A$41,'Net CONE'!$G$12:$G$41,0)/(DATE(LEFT($A$1,4)*1+1,5,31)-(DATE(LEFT($A$1,4)*1,6,1))+1)</f>
        <v>469.1645569620253</v>
      </c>
      <c r="P20" s="38">
        <f>_xlfn.XLOOKUP(P12,'Net CONE'!$A$12:$A$41,'Net CONE'!$G$12:$G$41,0)/(DATE(LEFT($A$1,4)*1+1,5,31)-(DATE(LEFT($A$1,4)*1,6,1))+1)</f>
        <v>445.60759493670878</v>
      </c>
      <c r="Q20" s="38">
        <f>_xlfn.XLOOKUP(Q12,'Net CONE'!$A$12:$A$41,'Net CONE'!$G$12:$G$41,0)/(DATE(LEFT($A$1,4)*1+1,5,31)-(DATE(LEFT($A$1,4)*1,6,1))+1)</f>
        <v>574.54430379746827</v>
      </c>
      <c r="R20" s="38">
        <f>_xlfn.XLOOKUP(R12,'Net CONE'!$A$12:$A$41,'Net CONE'!$G$12:$G$41,0)/(DATE(LEFT($A$1,4)*1+1,5,31)-(DATE(LEFT($A$1,4)*1,6,1))+1)</f>
        <v>163.91139240506331</v>
      </c>
    </row>
    <row r="21" spans="1:36" ht="16.5" thickBot="1">
      <c r="A21" s="208" t="s">
        <v>38</v>
      </c>
      <c r="B21" s="209"/>
      <c r="C21" s="209"/>
      <c r="D21" s="209"/>
      <c r="E21" s="209"/>
      <c r="F21" s="209"/>
      <c r="G21" s="209"/>
      <c r="H21" s="209"/>
      <c r="I21" s="209"/>
      <c r="J21" s="209"/>
      <c r="K21" s="209"/>
      <c r="L21" s="209"/>
      <c r="M21" s="209"/>
      <c r="N21" s="209"/>
      <c r="O21" s="209"/>
      <c r="P21" s="209"/>
      <c r="Q21" s="209"/>
      <c r="R21" s="39"/>
    </row>
    <row r="22" spans="1:36">
      <c r="A22" s="40" t="s">
        <v>39</v>
      </c>
      <c r="B22" s="41">
        <v>325</v>
      </c>
      <c r="C22" s="41">
        <v>325</v>
      </c>
      <c r="D22" s="41">
        <v>325</v>
      </c>
      <c r="E22" s="41">
        <v>325</v>
      </c>
      <c r="F22" s="41">
        <v>325</v>
      </c>
      <c r="G22" s="41">
        <v>325</v>
      </c>
      <c r="H22" s="41">
        <v>325</v>
      </c>
      <c r="I22" s="41">
        <v>325</v>
      </c>
      <c r="J22" s="41">
        <v>325</v>
      </c>
      <c r="K22" s="41">
        <v>325</v>
      </c>
      <c r="L22" s="41">
        <v>325</v>
      </c>
      <c r="M22" s="41">
        <v>325</v>
      </c>
      <c r="N22" s="41">
        <v>325</v>
      </c>
      <c r="O22" s="41">
        <v>325</v>
      </c>
      <c r="P22" s="41">
        <v>325</v>
      </c>
      <c r="Q22" s="41">
        <v>325</v>
      </c>
      <c r="R22" s="41">
        <v>325</v>
      </c>
    </row>
    <row r="23" spans="1:36">
      <c r="A23" s="42" t="s">
        <v>40</v>
      </c>
      <c r="B23" s="43">
        <v>277.36</v>
      </c>
      <c r="C23" s="43">
        <v>312.45</v>
      </c>
      <c r="D23" s="43">
        <v>175</v>
      </c>
      <c r="E23" s="43">
        <v>273.89</v>
      </c>
      <c r="F23" s="43">
        <v>175</v>
      </c>
      <c r="G23" s="43">
        <v>175</v>
      </c>
      <c r="H23" s="43">
        <v>309.37</v>
      </c>
      <c r="I23" s="43">
        <v>304.39</v>
      </c>
      <c r="J23" s="43">
        <v>265.08</v>
      </c>
      <c r="K23" s="43">
        <v>265.08</v>
      </c>
      <c r="L23" s="43">
        <v>175</v>
      </c>
      <c r="M23" s="43">
        <v>258.86</v>
      </c>
      <c r="N23" s="43">
        <v>175</v>
      </c>
      <c r="O23" s="43">
        <v>252.8</v>
      </c>
      <c r="P23" s="43">
        <v>261.63</v>
      </c>
      <c r="Q23" s="43">
        <v>213.28</v>
      </c>
      <c r="R23" s="43">
        <v>175</v>
      </c>
      <c r="T23" s="33"/>
      <c r="U23" s="33"/>
      <c r="V23" s="33"/>
      <c r="W23" s="33"/>
      <c r="X23" s="33"/>
      <c r="Y23" s="33"/>
      <c r="Z23" s="33"/>
      <c r="AA23" s="33"/>
      <c r="AB23" s="33"/>
      <c r="AC23" s="33"/>
      <c r="AD23" s="33"/>
      <c r="AE23" s="33"/>
      <c r="AF23" s="33"/>
      <c r="AG23" s="33"/>
      <c r="AH23" s="33"/>
      <c r="AI23" s="33"/>
      <c r="AJ23" s="33"/>
    </row>
    <row r="24" spans="1:36">
      <c r="A24" s="42" t="s">
        <v>41</v>
      </c>
      <c r="B24" s="43">
        <v>175</v>
      </c>
      <c r="C24" s="43">
        <v>175</v>
      </c>
      <c r="D24" s="43">
        <v>175</v>
      </c>
      <c r="E24" s="43">
        <v>175</v>
      </c>
      <c r="F24" s="43">
        <v>175</v>
      </c>
      <c r="G24" s="43">
        <v>175</v>
      </c>
      <c r="H24" s="43">
        <v>175</v>
      </c>
      <c r="I24" s="43">
        <v>175</v>
      </c>
      <c r="J24" s="43">
        <v>175</v>
      </c>
      <c r="K24" s="43">
        <v>175</v>
      </c>
      <c r="L24" s="43">
        <v>175</v>
      </c>
      <c r="M24" s="43">
        <v>175</v>
      </c>
      <c r="N24" s="43">
        <v>175</v>
      </c>
      <c r="O24" s="43">
        <v>175</v>
      </c>
      <c r="P24" s="43">
        <v>175</v>
      </c>
      <c r="Q24" s="43">
        <v>175</v>
      </c>
      <c r="R24" s="43">
        <v>175</v>
      </c>
    </row>
    <row r="25" spans="1:36">
      <c r="A25" s="42" t="s">
        <v>100</v>
      </c>
      <c r="B25" s="43">
        <v>175</v>
      </c>
      <c r="C25" s="43">
        <v>175</v>
      </c>
      <c r="D25" s="43" t="s">
        <v>162</v>
      </c>
      <c r="E25" s="43">
        <v>175</v>
      </c>
      <c r="F25" s="43" t="s">
        <v>162</v>
      </c>
      <c r="G25" s="43" t="s">
        <v>162</v>
      </c>
      <c r="H25" s="43">
        <v>175</v>
      </c>
      <c r="I25" s="43">
        <v>175</v>
      </c>
      <c r="J25" s="43">
        <v>175</v>
      </c>
      <c r="K25" s="43">
        <v>175</v>
      </c>
      <c r="L25" s="43" t="s">
        <v>162</v>
      </c>
      <c r="M25" s="43">
        <v>175</v>
      </c>
      <c r="N25" s="43" t="s">
        <v>162</v>
      </c>
      <c r="O25" s="43">
        <v>175</v>
      </c>
      <c r="P25" s="43">
        <v>175</v>
      </c>
      <c r="Q25" s="43">
        <v>175</v>
      </c>
      <c r="R25" s="43" t="s">
        <v>162</v>
      </c>
    </row>
    <row r="26" spans="1:36">
      <c r="A26" s="42" t="s">
        <v>42</v>
      </c>
      <c r="B26" s="44">
        <v>146703</v>
      </c>
      <c r="C26" s="44">
        <v>55241.9</v>
      </c>
      <c r="D26" s="44">
        <v>31810.799999999999</v>
      </c>
      <c r="E26" s="44">
        <v>13464.7</v>
      </c>
      <c r="F26" s="44">
        <v>11079.2</v>
      </c>
      <c r="G26" s="44">
        <v>5340.7</v>
      </c>
      <c r="H26" s="44">
        <v>2720.8</v>
      </c>
      <c r="I26" s="44">
        <v>6574.9</v>
      </c>
      <c r="J26" s="44">
        <v>12661.6</v>
      </c>
      <c r="K26" s="44">
        <v>5260.7</v>
      </c>
      <c r="L26" s="44">
        <v>23327</v>
      </c>
      <c r="M26" s="44">
        <v>7051.4</v>
      </c>
      <c r="N26" s="44">
        <v>10315.9</v>
      </c>
      <c r="O26" s="44">
        <v>3821.9</v>
      </c>
      <c r="P26" s="44">
        <v>5711.7</v>
      </c>
      <c r="Q26" s="44">
        <v>30072.6</v>
      </c>
      <c r="R26" s="44">
        <v>6388.5</v>
      </c>
    </row>
    <row r="27" spans="1:36">
      <c r="A27" s="42" t="s">
        <v>43</v>
      </c>
      <c r="B27" s="44">
        <v>147326.29999999999</v>
      </c>
      <c r="C27" s="44">
        <v>55296.6</v>
      </c>
      <c r="D27" s="44">
        <v>32405.599999999999</v>
      </c>
      <c r="E27" s="44">
        <v>13526.9</v>
      </c>
      <c r="F27" s="44">
        <v>11274.5</v>
      </c>
      <c r="G27" s="44">
        <v>5434.8</v>
      </c>
      <c r="H27" s="44">
        <v>2724.2</v>
      </c>
      <c r="I27" s="44">
        <v>6585.9</v>
      </c>
      <c r="J27" s="44">
        <v>12732.5</v>
      </c>
      <c r="K27" s="44">
        <v>5290.2</v>
      </c>
      <c r="L27" s="44">
        <v>23723.5</v>
      </c>
      <c r="M27" s="44">
        <v>7096.1</v>
      </c>
      <c r="N27" s="44">
        <v>10522.9</v>
      </c>
      <c r="O27" s="44">
        <v>3849</v>
      </c>
      <c r="P27" s="44">
        <v>5746</v>
      </c>
      <c r="Q27" s="44">
        <v>30465.7</v>
      </c>
      <c r="R27" s="44">
        <v>6501.7</v>
      </c>
    </row>
    <row r="28" spans="1:36">
      <c r="A28" s="175" t="s">
        <v>44</v>
      </c>
      <c r="B28" s="44">
        <v>149736.79999999999</v>
      </c>
      <c r="C28" s="44">
        <v>56375.1</v>
      </c>
      <c r="D28" s="44">
        <v>33099.5</v>
      </c>
      <c r="E28" s="44">
        <v>13743.4</v>
      </c>
      <c r="F28" s="44">
        <v>11502.2</v>
      </c>
      <c r="G28" s="44">
        <v>5544.5</v>
      </c>
      <c r="H28" s="44">
        <v>2776.6</v>
      </c>
      <c r="I28" s="44">
        <v>6710</v>
      </c>
      <c r="J28" s="44">
        <v>12924.3</v>
      </c>
      <c r="K28" s="44">
        <v>5369.9</v>
      </c>
      <c r="L28" s="44">
        <v>24186.2</v>
      </c>
      <c r="M28" s="44">
        <v>7198</v>
      </c>
      <c r="N28" s="44">
        <v>10764.3</v>
      </c>
      <c r="O28" s="44">
        <v>3901.5</v>
      </c>
      <c r="P28" s="44">
        <v>5830.4</v>
      </c>
      <c r="Q28" s="44">
        <v>30708.1</v>
      </c>
      <c r="R28" s="44">
        <v>6633.7</v>
      </c>
    </row>
    <row r="29" spans="1:36" ht="15.75" thickBot="1">
      <c r="A29" s="174" t="s">
        <v>101</v>
      </c>
      <c r="B29" s="45">
        <v>153858</v>
      </c>
      <c r="C29" s="45">
        <v>57748.2</v>
      </c>
      <c r="D29" s="45" t="s">
        <v>162</v>
      </c>
      <c r="E29" s="45">
        <v>14126.6</v>
      </c>
      <c r="F29" s="45" t="s">
        <v>162</v>
      </c>
      <c r="G29" s="45" t="s">
        <v>162</v>
      </c>
      <c r="H29" s="45">
        <v>2844.9</v>
      </c>
      <c r="I29" s="45">
        <v>6877.9</v>
      </c>
      <c r="J29" s="45">
        <v>13297</v>
      </c>
      <c r="K29" s="45">
        <v>5524.7</v>
      </c>
      <c r="L29" s="45" t="s">
        <v>162</v>
      </c>
      <c r="M29" s="45">
        <v>7410.7</v>
      </c>
      <c r="N29" s="45" t="s">
        <v>162</v>
      </c>
      <c r="O29" s="45">
        <v>4019.6</v>
      </c>
      <c r="P29" s="45">
        <v>6000.8</v>
      </c>
      <c r="Q29" s="45">
        <v>31816.400000000001</v>
      </c>
      <c r="R29" s="45" t="s">
        <v>162</v>
      </c>
    </row>
    <row r="30" spans="1:36" ht="16.5" thickBot="1">
      <c r="A30" s="46" t="s">
        <v>45</v>
      </c>
      <c r="B30" s="47">
        <f>C30+J30+L30+O30+P30</f>
        <v>0</v>
      </c>
      <c r="C30" s="47">
        <f>D30+E30+N30</f>
        <v>0</v>
      </c>
      <c r="D30" s="47">
        <f>0+H30+R30</f>
        <v>0</v>
      </c>
      <c r="E30" s="47">
        <f>I30+M30</f>
        <v>0</v>
      </c>
      <c r="F30" s="47">
        <v>0</v>
      </c>
      <c r="G30" s="47">
        <v>0</v>
      </c>
      <c r="H30" s="47">
        <v>0</v>
      </c>
      <c r="I30" s="47">
        <v>0</v>
      </c>
      <c r="J30" s="47">
        <v>0</v>
      </c>
      <c r="K30" s="47">
        <v>0</v>
      </c>
      <c r="L30" s="47">
        <v>0</v>
      </c>
      <c r="M30" s="47">
        <v>0</v>
      </c>
      <c r="N30" s="47">
        <v>0</v>
      </c>
      <c r="O30" s="47">
        <v>0</v>
      </c>
      <c r="P30" s="47">
        <v>0</v>
      </c>
      <c r="Q30" s="47">
        <v>0</v>
      </c>
      <c r="R30" s="47">
        <v>0</v>
      </c>
    </row>
    <row r="31" spans="1:36" ht="16.5" thickBot="1">
      <c r="A31" s="210" t="s">
        <v>46</v>
      </c>
      <c r="B31" s="211"/>
      <c r="C31" s="211"/>
      <c r="D31" s="211"/>
      <c r="E31" s="211"/>
      <c r="F31" s="211"/>
      <c r="G31" s="211"/>
      <c r="H31" s="211"/>
      <c r="I31" s="211"/>
      <c r="J31" s="211"/>
      <c r="K31" s="211"/>
      <c r="L31" s="211"/>
      <c r="M31" s="211"/>
      <c r="N31" s="211"/>
      <c r="O31" s="211"/>
      <c r="P31" s="212"/>
      <c r="Q31" s="48"/>
      <c r="R31" s="49"/>
    </row>
    <row r="32" spans="1:36">
      <c r="A32" s="50" t="s">
        <v>47</v>
      </c>
      <c r="B32" s="51"/>
      <c r="C32" s="51"/>
      <c r="D32" s="51"/>
      <c r="E32" s="51"/>
      <c r="F32" s="51"/>
      <c r="G32" s="51"/>
      <c r="H32" s="51"/>
      <c r="I32" s="51"/>
      <c r="J32" s="51"/>
      <c r="K32" s="51"/>
      <c r="L32" s="51"/>
      <c r="M32" s="51"/>
      <c r="N32" s="51" t="s">
        <v>1</v>
      </c>
      <c r="O32" s="51" t="s">
        <v>1</v>
      </c>
      <c r="P32" s="52" t="s">
        <v>1</v>
      </c>
      <c r="Q32" s="52"/>
      <c r="R32" s="53"/>
    </row>
    <row r="33" spans="1:36">
      <c r="A33" s="54" t="s">
        <v>48</v>
      </c>
      <c r="B33" s="55"/>
      <c r="C33" s="55"/>
      <c r="D33" s="55"/>
      <c r="E33" s="55"/>
      <c r="F33" s="55"/>
      <c r="G33" s="55"/>
      <c r="H33" s="55"/>
      <c r="I33" s="55"/>
      <c r="J33" s="55"/>
      <c r="K33" s="55"/>
      <c r="L33" s="55"/>
      <c r="M33" s="55"/>
      <c r="N33" s="55" t="s">
        <v>1</v>
      </c>
      <c r="O33" s="55" t="s">
        <v>1</v>
      </c>
      <c r="P33" s="56" t="s">
        <v>1</v>
      </c>
      <c r="Q33" s="56"/>
      <c r="R33" s="57"/>
    </row>
    <row r="34" spans="1:36">
      <c r="A34" s="54" t="s">
        <v>49</v>
      </c>
      <c r="B34" s="55"/>
      <c r="C34" s="55"/>
      <c r="D34" s="55"/>
      <c r="E34" s="55"/>
      <c r="F34" s="55"/>
      <c r="G34" s="55"/>
      <c r="H34" s="55"/>
      <c r="I34" s="55"/>
      <c r="J34" s="55"/>
      <c r="K34" s="55"/>
      <c r="L34" s="55"/>
      <c r="M34" s="55"/>
      <c r="N34" s="55" t="s">
        <v>1</v>
      </c>
      <c r="O34" s="55" t="s">
        <v>1</v>
      </c>
      <c r="P34" s="56" t="s">
        <v>1</v>
      </c>
      <c r="Q34" s="56"/>
      <c r="R34" s="57"/>
    </row>
    <row r="35" spans="1:36">
      <c r="A35" s="54" t="s">
        <v>50</v>
      </c>
      <c r="B35" s="55"/>
      <c r="C35" s="55"/>
      <c r="D35" s="55"/>
      <c r="E35" s="55"/>
      <c r="F35" s="55"/>
      <c r="G35" s="55"/>
      <c r="H35" s="55"/>
      <c r="I35" s="55"/>
      <c r="J35" s="55"/>
      <c r="K35" s="55"/>
      <c r="L35" s="55"/>
      <c r="M35" s="55"/>
      <c r="N35" s="55" t="s">
        <v>1</v>
      </c>
      <c r="O35" s="55" t="s">
        <v>1</v>
      </c>
      <c r="P35" s="56" t="s">
        <v>1</v>
      </c>
      <c r="Q35" s="56"/>
      <c r="R35" s="57"/>
    </row>
    <row r="36" spans="1:36" ht="15.75" thickBot="1">
      <c r="A36" s="58" t="s">
        <v>41</v>
      </c>
      <c r="B36" s="59"/>
      <c r="C36" s="59"/>
      <c r="D36" s="59"/>
      <c r="E36" s="59"/>
      <c r="F36" s="59"/>
      <c r="G36" s="59"/>
      <c r="H36" s="59"/>
      <c r="I36" s="59"/>
      <c r="J36" s="59"/>
      <c r="K36" s="59"/>
      <c r="L36" s="59"/>
      <c r="M36" s="59"/>
      <c r="N36" s="59" t="s">
        <v>1</v>
      </c>
      <c r="O36" s="59" t="s">
        <v>1</v>
      </c>
      <c r="P36" s="60" t="s">
        <v>1</v>
      </c>
      <c r="Q36" s="60"/>
      <c r="R36" s="61"/>
    </row>
    <row r="37" spans="1:36">
      <c r="A37" s="62" t="s">
        <v>51</v>
      </c>
      <c r="B37" s="63"/>
      <c r="C37" s="63"/>
      <c r="D37" s="63"/>
      <c r="E37" s="63"/>
      <c r="F37" s="63"/>
      <c r="G37" s="63"/>
      <c r="H37" s="63"/>
      <c r="I37" s="63"/>
      <c r="J37" s="63"/>
      <c r="K37" s="63"/>
      <c r="L37" s="63"/>
      <c r="M37" s="63"/>
      <c r="N37" s="63" t="s">
        <v>1</v>
      </c>
      <c r="O37" s="63" t="s">
        <v>1</v>
      </c>
      <c r="P37" s="64" t="s">
        <v>1</v>
      </c>
      <c r="Q37" s="64"/>
      <c r="R37" s="65"/>
    </row>
    <row r="38" spans="1:36">
      <c r="A38" s="66" t="s">
        <v>52</v>
      </c>
      <c r="B38" s="67"/>
      <c r="C38" s="67"/>
      <c r="D38" s="67"/>
      <c r="E38" s="67"/>
      <c r="F38" s="67"/>
      <c r="G38" s="67"/>
      <c r="H38" s="67"/>
      <c r="I38" s="67"/>
      <c r="J38" s="67"/>
      <c r="K38" s="67"/>
      <c r="L38" s="67"/>
      <c r="M38" s="67"/>
      <c r="N38" s="67" t="s">
        <v>1</v>
      </c>
      <c r="O38" s="67" t="s">
        <v>1</v>
      </c>
      <c r="P38" s="68" t="s">
        <v>1</v>
      </c>
      <c r="Q38" s="68"/>
      <c r="R38" s="69"/>
    </row>
    <row r="39" spans="1:36">
      <c r="A39" s="66" t="s">
        <v>53</v>
      </c>
      <c r="B39" s="67"/>
      <c r="C39" s="67"/>
      <c r="D39" s="67"/>
      <c r="E39" s="67"/>
      <c r="F39" s="67"/>
      <c r="G39" s="67"/>
      <c r="H39" s="67"/>
      <c r="I39" s="67"/>
      <c r="J39" s="67"/>
      <c r="K39" s="67"/>
      <c r="L39" s="67"/>
      <c r="M39" s="67"/>
      <c r="N39" s="67" t="s">
        <v>1</v>
      </c>
      <c r="O39" s="67" t="s">
        <v>1</v>
      </c>
      <c r="P39" s="68" t="s">
        <v>1</v>
      </c>
      <c r="Q39" s="68"/>
      <c r="R39" s="69"/>
    </row>
    <row r="40" spans="1:36">
      <c r="A40" s="66" t="s">
        <v>54</v>
      </c>
      <c r="B40" s="67"/>
      <c r="C40" s="67"/>
      <c r="D40" s="67"/>
      <c r="E40" s="67"/>
      <c r="F40" s="67"/>
      <c r="G40" s="67"/>
      <c r="H40" s="67"/>
      <c r="I40" s="67"/>
      <c r="J40" s="67"/>
      <c r="K40" s="67"/>
      <c r="L40" s="67"/>
      <c r="M40" s="67"/>
      <c r="N40" s="67" t="s">
        <v>1</v>
      </c>
      <c r="O40" s="67" t="s">
        <v>1</v>
      </c>
      <c r="P40" s="68" t="s">
        <v>1</v>
      </c>
      <c r="Q40" s="68"/>
      <c r="R40" s="69"/>
    </row>
    <row r="41" spans="1:36" ht="15.75" thickBot="1">
      <c r="A41" s="70" t="s">
        <v>44</v>
      </c>
      <c r="B41" s="71"/>
      <c r="C41" s="71"/>
      <c r="D41" s="71"/>
      <c r="E41" s="71"/>
      <c r="F41" s="71"/>
      <c r="G41" s="71"/>
      <c r="H41" s="71"/>
      <c r="I41" s="71"/>
      <c r="J41" s="71"/>
      <c r="K41" s="71"/>
      <c r="L41" s="71"/>
      <c r="M41" s="71"/>
      <c r="N41" s="71" t="s">
        <v>1</v>
      </c>
      <c r="O41" s="71" t="s">
        <v>1</v>
      </c>
      <c r="P41" s="72" t="s">
        <v>1</v>
      </c>
      <c r="Q41" s="72"/>
      <c r="R41" s="73"/>
    </row>
    <row r="42" spans="1:36" ht="15.75">
      <c r="A42" s="74" t="s">
        <v>55</v>
      </c>
      <c r="B42" s="75">
        <f t="shared" ref="B42:R42" si="2">ROUND(MAX((B19-B20)*0.5, 20)*((DATE(LEFT($A$1,4)*1+1,5,31)-(DATE(LEFT($A$1,4)*1,6,1))+1)),2)</f>
        <v>59438.77</v>
      </c>
      <c r="C42" s="75">
        <f t="shared" si="2"/>
        <v>78409.02</v>
      </c>
      <c r="D42" s="75">
        <f t="shared" si="2"/>
        <v>98870.92</v>
      </c>
      <c r="E42" s="75">
        <f t="shared" si="2"/>
        <v>58354.1</v>
      </c>
      <c r="F42" s="75">
        <f t="shared" si="2"/>
        <v>109015.73</v>
      </c>
      <c r="G42" s="75">
        <f t="shared" si="2"/>
        <v>109015.73</v>
      </c>
      <c r="H42" s="75">
        <f t="shared" si="2"/>
        <v>76969.649999999994</v>
      </c>
      <c r="I42" s="75">
        <f t="shared" si="2"/>
        <v>73198.899999999994</v>
      </c>
      <c r="J42" s="75">
        <f t="shared" si="2"/>
        <v>56431.73</v>
      </c>
      <c r="K42" s="75">
        <f t="shared" si="2"/>
        <v>56431.73</v>
      </c>
      <c r="L42" s="75">
        <f t="shared" si="2"/>
        <v>105280.62</v>
      </c>
      <c r="M42" s="75">
        <f t="shared" si="2"/>
        <v>51042.48</v>
      </c>
      <c r="N42" s="75">
        <f t="shared" si="2"/>
        <v>88288.67</v>
      </c>
      <c r="O42" s="75">
        <f t="shared" si="2"/>
        <v>50453.120000000003</v>
      </c>
      <c r="P42" s="75">
        <f t="shared" si="2"/>
        <v>54752.26</v>
      </c>
      <c r="Q42" s="75">
        <f t="shared" si="2"/>
        <v>31221.31</v>
      </c>
      <c r="R42" s="75">
        <f t="shared" si="2"/>
        <v>108061.65</v>
      </c>
    </row>
    <row r="43" spans="1:36" ht="15.75">
      <c r="A43" s="91" t="s">
        <v>198</v>
      </c>
      <c r="B43" s="199">
        <v>23725</v>
      </c>
      <c r="C43" s="199">
        <v>67204.384000000005</v>
      </c>
      <c r="D43" s="199">
        <v>98870.922784810115</v>
      </c>
      <c r="E43" s="199">
        <v>23725</v>
      </c>
      <c r="F43" s="199">
        <v>109015.72816455696</v>
      </c>
      <c r="G43" s="199">
        <v>109015.72816455696</v>
      </c>
      <c r="H43" s="199">
        <v>63793.075749999982</v>
      </c>
      <c r="I43" s="199">
        <v>54856.397499999977</v>
      </c>
      <c r="J43" s="199">
        <v>23725</v>
      </c>
      <c r="K43" s="199">
        <v>23725</v>
      </c>
      <c r="L43" s="199">
        <v>105280.62310126584</v>
      </c>
      <c r="M43" s="199">
        <v>23725</v>
      </c>
      <c r="N43" s="199">
        <v>88288.671835443049</v>
      </c>
      <c r="O43" s="199">
        <v>23725</v>
      </c>
      <c r="P43" s="199">
        <v>23725</v>
      </c>
      <c r="Q43" s="199">
        <v>23725</v>
      </c>
      <c r="R43" s="199">
        <v>108061.64588607593</v>
      </c>
    </row>
    <row r="44" spans="1:36" ht="30">
      <c r="A44" s="198" t="s">
        <v>199</v>
      </c>
      <c r="B44" s="200"/>
      <c r="C44" s="201"/>
      <c r="D44" s="201"/>
      <c r="E44" s="201"/>
      <c r="F44" s="201"/>
      <c r="G44" s="201"/>
      <c r="H44" s="201"/>
      <c r="I44" s="201"/>
      <c r="J44" s="201"/>
      <c r="K44" s="201"/>
      <c r="L44" s="201"/>
      <c r="M44" s="201"/>
      <c r="N44" s="201"/>
      <c r="O44" s="201"/>
      <c r="P44" s="201"/>
      <c r="Q44" s="201"/>
      <c r="R44" s="202"/>
      <c r="T44" s="33"/>
      <c r="U44" s="33"/>
      <c r="V44" s="33"/>
      <c r="W44" s="33"/>
      <c r="X44" s="33"/>
      <c r="Y44" s="33"/>
      <c r="Z44" s="33"/>
      <c r="AA44" s="33"/>
      <c r="AB44" s="33"/>
      <c r="AC44" s="33"/>
      <c r="AD44" s="33"/>
      <c r="AE44" s="33"/>
      <c r="AF44" s="33"/>
      <c r="AG44" s="33"/>
      <c r="AH44" s="33"/>
      <c r="AI44" s="33"/>
      <c r="AJ44" s="33"/>
    </row>
    <row r="45" spans="1:36" ht="15.75">
      <c r="A45" s="213" t="s">
        <v>56</v>
      </c>
      <c r="B45" s="214"/>
      <c r="C45" s="214"/>
      <c r="D45" s="214"/>
      <c r="E45" s="214"/>
      <c r="F45" s="214"/>
      <c r="G45" s="214"/>
      <c r="H45" s="214"/>
      <c r="I45" s="214"/>
      <c r="J45" s="214"/>
      <c r="K45" s="214"/>
      <c r="L45" s="214"/>
      <c r="M45" s="214"/>
      <c r="N45" s="214"/>
      <c r="O45" s="214"/>
      <c r="P45" s="214"/>
      <c r="Q45" s="214"/>
      <c r="R45" s="214"/>
    </row>
    <row r="46" spans="1:36">
      <c r="A46" s="76" t="s">
        <v>57</v>
      </c>
      <c r="B46" s="77" t="s">
        <v>30</v>
      </c>
      <c r="C46" s="78">
        <f>MIN(ROUND((C15-C14)/(I79*$B$7),3),100%)</f>
        <v>1</v>
      </c>
      <c r="D46" s="79">
        <f>ROUND((D15-D14)/(I76*$B$7),3)</f>
        <v>0.85799999999999998</v>
      </c>
      <c r="E46" s="79">
        <f>ROUND((E15-E14)/(I77*$B$7),3)</f>
        <v>0.66600000000000004</v>
      </c>
      <c r="F46" s="79" t="s">
        <v>30</v>
      </c>
      <c r="G46" s="77" t="s">
        <v>30</v>
      </c>
      <c r="H46" s="79" t="s">
        <v>30</v>
      </c>
      <c r="I46" s="77" t="s">
        <v>30</v>
      </c>
      <c r="J46" s="79" t="s">
        <v>30</v>
      </c>
      <c r="K46" s="77" t="s">
        <v>30</v>
      </c>
      <c r="L46" s="79" t="s">
        <v>30</v>
      </c>
      <c r="M46" s="79">
        <f>ROUND((M15-M14)/(I57*$B$7),3)</f>
        <v>0.23</v>
      </c>
      <c r="N46" s="77" t="s">
        <v>30</v>
      </c>
      <c r="O46" s="77" t="s">
        <v>30</v>
      </c>
      <c r="P46" s="80" t="s">
        <v>30</v>
      </c>
      <c r="Q46" s="80">
        <f>ROUND((Q15-Q14)/(I62*$B$7),3)</f>
        <v>0.91200000000000003</v>
      </c>
      <c r="R46" s="79" t="s">
        <v>30</v>
      </c>
    </row>
    <row r="47" spans="1:36" ht="15.75">
      <c r="A47" s="81" t="s">
        <v>58</v>
      </c>
      <c r="B47" s="82"/>
      <c r="C47" s="83"/>
      <c r="D47" s="84"/>
      <c r="E47" s="84"/>
      <c r="F47" s="84"/>
      <c r="G47" s="82"/>
      <c r="H47" s="82"/>
      <c r="I47" s="82"/>
      <c r="J47" s="84"/>
      <c r="K47" s="82"/>
      <c r="L47" s="84"/>
      <c r="M47" s="84"/>
      <c r="N47" s="82"/>
      <c r="O47" s="82"/>
      <c r="P47" s="84"/>
      <c r="Q47" s="84"/>
      <c r="R47" s="85"/>
    </row>
    <row r="48" spans="1:36" ht="15.75">
      <c r="A48" s="86" t="s">
        <v>1</v>
      </c>
      <c r="B48" s="87"/>
      <c r="C48" s="87"/>
      <c r="D48" s="87"/>
      <c r="E48" s="87"/>
      <c r="F48" s="87"/>
      <c r="G48" s="87"/>
      <c r="H48" s="87"/>
      <c r="I48" s="87"/>
      <c r="J48" s="87"/>
      <c r="K48" s="87"/>
      <c r="L48" s="87"/>
      <c r="M48" s="87"/>
      <c r="N48" s="87"/>
    </row>
    <row r="49" spans="1:18" ht="15.75">
      <c r="A49" s="215" t="s">
        <v>59</v>
      </c>
      <c r="B49" s="215"/>
      <c r="C49" s="215"/>
      <c r="D49" s="215"/>
      <c r="E49" s="215"/>
      <c r="F49" s="215"/>
      <c r="G49" s="215"/>
      <c r="H49" s="215"/>
      <c r="I49" s="215"/>
      <c r="J49" s="88" t="s">
        <v>1</v>
      </c>
      <c r="K49" s="89" t="s">
        <v>1</v>
      </c>
      <c r="M49" s="89" t="s">
        <v>1</v>
      </c>
    </row>
    <row r="50" spans="1:18" ht="94.5">
      <c r="A50" s="90" t="s">
        <v>60</v>
      </c>
      <c r="B50" s="22" t="s">
        <v>61</v>
      </c>
      <c r="C50" s="22" t="s">
        <v>62</v>
      </c>
      <c r="D50" s="22" t="s">
        <v>63</v>
      </c>
      <c r="E50" s="22" t="s">
        <v>64</v>
      </c>
      <c r="F50" s="22" t="s">
        <v>65</v>
      </c>
      <c r="G50" s="22" t="s">
        <v>66</v>
      </c>
      <c r="H50" s="22" t="s">
        <v>67</v>
      </c>
      <c r="I50" s="22" t="s">
        <v>68</v>
      </c>
      <c r="J50" s="22" t="s">
        <v>69</v>
      </c>
      <c r="K50" s="22" t="s">
        <v>70</v>
      </c>
      <c r="L50" s="91" t="s">
        <v>60</v>
      </c>
      <c r="P50" s="92" t="s">
        <v>1</v>
      </c>
      <c r="Q50" s="92" t="s">
        <v>1</v>
      </c>
    </row>
    <row r="51" spans="1:18" ht="15.75">
      <c r="A51" s="93" t="s">
        <v>2</v>
      </c>
      <c r="B51" s="94" t="s">
        <v>30</v>
      </c>
      <c r="C51" s="95" t="s">
        <v>30</v>
      </c>
      <c r="D51" s="95" t="s">
        <v>30</v>
      </c>
      <c r="E51" s="96">
        <f>E52+E53+E54+E55+E57+E58+E59+E60+E61+E62+E63+E65+E66+E67+E68+E69+E70+E71+E72+E73+E75</f>
        <v>153870</v>
      </c>
      <c r="F51" s="96">
        <f>F52+F53+F54+F55+F57+F58+F59+F60+F61+F62+F63+F65+F66+F67+F68+F69+F70+F71+F72+F73+F75</f>
        <v>16252</v>
      </c>
      <c r="G51" s="96">
        <f>G52+G53+G54+G55+G57+G58+G59+G60+G61+G62+G63+G65+G66+G67+G68+G69+G70+G71+G72+G73+G75</f>
        <v>149701.5</v>
      </c>
      <c r="H51" s="97" t="s">
        <v>30</v>
      </c>
      <c r="I51" s="98">
        <f>I52+I53+I54+I55+I57+I58+I59+I60+I61+I62+I63+I65+I66+I67+I68+I69+I70+I71+I72+I73+I75</f>
        <v>165953.5</v>
      </c>
      <c r="J51" s="98">
        <f>J52+J53+J54+J55+J57+J58+J59+J60+J61+J62+J63+J65+J66+J67+J69+J70+J71+J72+J73+J75</f>
        <v>11555.999999999998</v>
      </c>
      <c r="K51" s="96">
        <f>K52+K53+K54+K55+K57+K58+K59+K60+K61+K62+K63+K65+K66+K67+K68+K69+K70+K71+K72+K73+K75</f>
        <v>154397.5</v>
      </c>
      <c r="L51" s="99" t="s">
        <v>2</v>
      </c>
      <c r="M51" s="92" t="s">
        <v>1</v>
      </c>
      <c r="N51" s="92" t="s">
        <v>1</v>
      </c>
      <c r="O51" s="92" t="s">
        <v>1</v>
      </c>
      <c r="Q51" s="92" t="s">
        <v>1</v>
      </c>
    </row>
    <row r="52" spans="1:18">
      <c r="A52" s="100" t="s">
        <v>71</v>
      </c>
      <c r="B52" s="101">
        <v>2221</v>
      </c>
      <c r="C52" s="101" t="s">
        <v>134</v>
      </c>
      <c r="D52" s="102" t="str">
        <f>IF(IFERROR(SEARCH("&gt;",C52),0),"&gt;115%",IF(B52&gt;0,C52/B52,"*"))</f>
        <v>&gt;115%</v>
      </c>
      <c r="E52" s="103">
        <v>2315</v>
      </c>
      <c r="F52" s="103">
        <v>0</v>
      </c>
      <c r="G52" s="103">
        <f>I52-F52</f>
        <v>2320</v>
      </c>
      <c r="H52" s="104">
        <f>G52/E52</f>
        <v>1.0021598272138228</v>
      </c>
      <c r="I52" s="105">
        <v>2320</v>
      </c>
      <c r="J52" s="105">
        <v>0</v>
      </c>
      <c r="K52" s="103">
        <f>I52-J52</f>
        <v>2320</v>
      </c>
      <c r="L52" s="14" t="s">
        <v>71</v>
      </c>
      <c r="M52" s="106"/>
      <c r="N52" s="107"/>
      <c r="O52" s="92" t="s">
        <v>1</v>
      </c>
      <c r="Q52" s="92" t="s">
        <v>1</v>
      </c>
    </row>
    <row r="53" spans="1:18">
      <c r="A53" s="100" t="s">
        <v>72</v>
      </c>
      <c r="B53" s="101">
        <v>3833</v>
      </c>
      <c r="C53" s="101" t="s">
        <v>135</v>
      </c>
      <c r="D53" s="102" t="str">
        <f t="shared" ref="D53:D77" si="3">IF(IFERROR(SEARCH("&gt;",C53),0),"&gt;115%",IF(B53&gt;0,C53/B53,"*"))</f>
        <v>&gt;115%</v>
      </c>
      <c r="E53" s="103">
        <v>22985</v>
      </c>
      <c r="F53" s="103">
        <v>4748</v>
      </c>
      <c r="G53" s="103">
        <f>I53-F53</f>
        <v>22249</v>
      </c>
      <c r="H53" s="104">
        <f>G53/E53</f>
        <v>0.96797911681531434</v>
      </c>
      <c r="I53" s="105">
        <v>26997</v>
      </c>
      <c r="J53" s="105">
        <v>11555.999999999998</v>
      </c>
      <c r="K53" s="103">
        <f>I53-J53</f>
        <v>15441.000000000002</v>
      </c>
      <c r="L53" s="14" t="s">
        <v>72</v>
      </c>
      <c r="M53" s="106"/>
      <c r="N53" s="107"/>
      <c r="O53" s="108"/>
      <c r="P53" s="109"/>
      <c r="Q53" s="108"/>
      <c r="R53" s="109"/>
    </row>
    <row r="54" spans="1:18">
      <c r="A54" s="100" t="s">
        <v>73</v>
      </c>
      <c r="B54" s="101">
        <v>1601</v>
      </c>
      <c r="C54" s="101" t="s">
        <v>136</v>
      </c>
      <c r="D54" s="102" t="str">
        <f>IF(IFERROR(SEARCH("&gt;",C54),0),"&gt;115%",IF(B54&gt;0,C54/B54,"*"))</f>
        <v>&gt;115%</v>
      </c>
      <c r="E54" s="110">
        <v>8600</v>
      </c>
      <c r="F54" s="103">
        <v>319</v>
      </c>
      <c r="G54" s="110">
        <f t="shared" ref="G54:G75" si="4">I54-F54</f>
        <v>8513</v>
      </c>
      <c r="H54" s="111">
        <f>G54/E54</f>
        <v>0.98988372093023258</v>
      </c>
      <c r="I54" s="105">
        <v>8832</v>
      </c>
      <c r="J54" s="95">
        <v>0</v>
      </c>
      <c r="K54" s="110">
        <f t="shared" ref="K54:K75" si="5">I54-J54</f>
        <v>8832</v>
      </c>
      <c r="L54" s="14" t="s">
        <v>73</v>
      </c>
      <c r="M54" s="106"/>
      <c r="N54" s="107"/>
      <c r="O54" s="92" t="s">
        <v>1</v>
      </c>
      <c r="P54" s="92" t="s">
        <v>1</v>
      </c>
      <c r="Q54" s="92" t="s">
        <v>1</v>
      </c>
    </row>
    <row r="55" spans="1:18">
      <c r="A55" s="100" t="s">
        <v>20</v>
      </c>
      <c r="B55" s="101">
        <v>3910</v>
      </c>
      <c r="C55" s="101" t="s">
        <v>137</v>
      </c>
      <c r="D55" s="102" t="str">
        <f t="shared" si="3"/>
        <v>&gt;115%</v>
      </c>
      <c r="E55" s="112">
        <v>12390</v>
      </c>
      <c r="F55" s="103">
        <v>299</v>
      </c>
      <c r="G55" s="112">
        <f t="shared" si="4"/>
        <v>12112</v>
      </c>
      <c r="H55" s="113">
        <f>G55/E55</f>
        <v>0.97756255044390639</v>
      </c>
      <c r="I55" s="105">
        <v>12411</v>
      </c>
      <c r="J55" s="95">
        <v>0</v>
      </c>
      <c r="K55" s="112">
        <f t="shared" si="5"/>
        <v>12411</v>
      </c>
      <c r="L55" s="14" t="s">
        <v>20</v>
      </c>
      <c r="M55" s="106"/>
      <c r="N55" s="107"/>
      <c r="O55" s="92" t="s">
        <v>1</v>
      </c>
      <c r="P55" s="92" t="s">
        <v>1</v>
      </c>
      <c r="Q55" s="92" t="s">
        <v>1</v>
      </c>
    </row>
    <row r="56" spans="1:18">
      <c r="A56" s="100" t="s">
        <v>74</v>
      </c>
      <c r="B56" s="101">
        <v>3534</v>
      </c>
      <c r="C56" s="101">
        <v>5430</v>
      </c>
      <c r="D56" s="102">
        <f>IF(IFERROR(SEARCH("&gt;",C56),0),"&gt;115%",IF(B56&gt;0,C56/B56,"*"))</f>
        <v>1.5365025466893039</v>
      </c>
      <c r="E56" s="112" t="s">
        <v>30</v>
      </c>
      <c r="F56" s="103">
        <v>0</v>
      </c>
      <c r="G56" s="112">
        <f t="shared" si="4"/>
        <v>4046</v>
      </c>
      <c r="H56" s="113" t="s">
        <v>30</v>
      </c>
      <c r="I56" s="105">
        <v>4046</v>
      </c>
      <c r="J56" s="95">
        <v>0</v>
      </c>
      <c r="K56" s="112">
        <f>I56-J56</f>
        <v>4046</v>
      </c>
      <c r="L56" s="14" t="s">
        <v>74</v>
      </c>
      <c r="M56" s="106"/>
      <c r="N56" s="92"/>
      <c r="O56" s="92" t="s">
        <v>1</v>
      </c>
      <c r="P56" s="92" t="s">
        <v>1</v>
      </c>
      <c r="Q56" s="92" t="s">
        <v>1</v>
      </c>
    </row>
    <row r="57" spans="1:18">
      <c r="A57" s="100" t="s">
        <v>23</v>
      </c>
      <c r="B57" s="101">
        <v>4568</v>
      </c>
      <c r="C57" s="101">
        <v>5658</v>
      </c>
      <c r="D57" s="102">
        <f t="shared" si="3"/>
        <v>1.2386164623467601</v>
      </c>
      <c r="E57" s="103">
        <v>6320</v>
      </c>
      <c r="F57" s="103">
        <v>43</v>
      </c>
      <c r="G57" s="103">
        <f t="shared" si="4"/>
        <v>6117</v>
      </c>
      <c r="H57" s="104">
        <f>G57/E57</f>
        <v>0.96787974683544309</v>
      </c>
      <c r="I57" s="105">
        <v>6160</v>
      </c>
      <c r="J57" s="95">
        <v>0</v>
      </c>
      <c r="K57" s="103">
        <f t="shared" si="5"/>
        <v>6160</v>
      </c>
      <c r="L57" s="14" t="s">
        <v>23</v>
      </c>
      <c r="M57" s="106"/>
      <c r="N57" s="92" t="s">
        <v>1</v>
      </c>
      <c r="O57" s="92" t="s">
        <v>1</v>
      </c>
      <c r="P57" s="92" t="s">
        <v>1</v>
      </c>
      <c r="Q57" s="92" t="s">
        <v>1</v>
      </c>
    </row>
    <row r="58" spans="1:18">
      <c r="A58" s="100" t="s">
        <v>22</v>
      </c>
      <c r="B58" s="101">
        <v>1267</v>
      </c>
      <c r="C58" s="101">
        <v>1586</v>
      </c>
      <c r="D58" s="102">
        <f t="shared" si="3"/>
        <v>1.2517758484609314</v>
      </c>
      <c r="E58" s="103">
        <v>19090</v>
      </c>
      <c r="F58" s="103">
        <v>1663</v>
      </c>
      <c r="G58" s="103">
        <f t="shared" si="4"/>
        <v>18478</v>
      </c>
      <c r="H58" s="104">
        <f t="shared" ref="H58:H75" si="6">G58/E58</f>
        <v>0.96794133053954945</v>
      </c>
      <c r="I58" s="105">
        <v>20141</v>
      </c>
      <c r="J58" s="95">
        <v>0</v>
      </c>
      <c r="K58" s="103">
        <f t="shared" si="5"/>
        <v>20141</v>
      </c>
      <c r="L58" s="14" t="s">
        <v>22</v>
      </c>
      <c r="M58" s="106"/>
      <c r="N58" s="92" t="s">
        <v>1</v>
      </c>
      <c r="O58" s="92" t="s">
        <v>1</v>
      </c>
      <c r="P58" s="92" t="s">
        <v>1</v>
      </c>
      <c r="Q58" s="92" t="s">
        <v>1</v>
      </c>
    </row>
    <row r="59" spans="1:18">
      <c r="A59" s="100" t="s">
        <v>25</v>
      </c>
      <c r="B59" s="101">
        <v>2785</v>
      </c>
      <c r="C59" s="101">
        <v>4432</v>
      </c>
      <c r="D59" s="102">
        <f t="shared" si="3"/>
        <v>1.5913824057450627</v>
      </c>
      <c r="E59" s="112">
        <v>3150</v>
      </c>
      <c r="F59" s="103">
        <v>277</v>
      </c>
      <c r="G59" s="112">
        <f t="shared" si="4"/>
        <v>3134</v>
      </c>
      <c r="H59" s="113">
        <f t="shared" si="6"/>
        <v>0.99492063492063487</v>
      </c>
      <c r="I59" s="105">
        <v>3411</v>
      </c>
      <c r="J59" s="95">
        <v>0</v>
      </c>
      <c r="K59" s="112">
        <f t="shared" si="5"/>
        <v>3411</v>
      </c>
      <c r="L59" s="14" t="s">
        <v>25</v>
      </c>
      <c r="M59" s="106"/>
      <c r="N59" s="92" t="s">
        <v>1</v>
      </c>
      <c r="O59" s="92" t="s">
        <v>1</v>
      </c>
      <c r="P59" s="92" t="s">
        <v>1</v>
      </c>
      <c r="Q59" s="92" t="s">
        <v>1</v>
      </c>
    </row>
    <row r="60" spans="1:18">
      <c r="A60" s="100" t="s">
        <v>26</v>
      </c>
      <c r="B60" s="101">
        <v>2800</v>
      </c>
      <c r="C60" s="101">
        <v>5934</v>
      </c>
      <c r="D60" s="102">
        <f t="shared" si="3"/>
        <v>2.1192857142857142</v>
      </c>
      <c r="E60" s="112">
        <v>5070</v>
      </c>
      <c r="F60" s="103">
        <v>0</v>
      </c>
      <c r="G60" s="112">
        <f t="shared" si="4"/>
        <v>5087</v>
      </c>
      <c r="H60" s="113">
        <f t="shared" si="6"/>
        <v>1.0033530571992111</v>
      </c>
      <c r="I60" s="105">
        <v>5087</v>
      </c>
      <c r="J60" s="105">
        <v>0</v>
      </c>
      <c r="K60" s="112">
        <f t="shared" si="5"/>
        <v>5087</v>
      </c>
      <c r="L60" s="14" t="s">
        <v>26</v>
      </c>
      <c r="M60" s="106"/>
      <c r="O60" s="92" t="s">
        <v>1</v>
      </c>
      <c r="P60" s="92" t="s">
        <v>1</v>
      </c>
      <c r="Q60" s="92" t="s">
        <v>1</v>
      </c>
    </row>
    <row r="61" spans="1:18">
      <c r="A61" s="100" t="s">
        <v>75</v>
      </c>
      <c r="B61" s="101">
        <v>1828</v>
      </c>
      <c r="C61" s="101" t="s">
        <v>138</v>
      </c>
      <c r="D61" s="102" t="str">
        <f t="shared" si="3"/>
        <v>&gt;115%</v>
      </c>
      <c r="E61" s="112">
        <v>2610</v>
      </c>
      <c r="F61" s="103">
        <v>0</v>
      </c>
      <c r="G61" s="112">
        <f t="shared" si="4"/>
        <v>2586</v>
      </c>
      <c r="H61" s="113">
        <f t="shared" si="6"/>
        <v>0.99080459770114937</v>
      </c>
      <c r="I61" s="105">
        <v>2586</v>
      </c>
      <c r="J61" s="105">
        <v>0</v>
      </c>
      <c r="K61" s="112">
        <f t="shared" si="5"/>
        <v>2586</v>
      </c>
      <c r="L61" s="14" t="s">
        <v>75</v>
      </c>
      <c r="M61" s="106"/>
      <c r="O61" s="92" t="s">
        <v>1</v>
      </c>
      <c r="P61" s="92" t="s">
        <v>1</v>
      </c>
      <c r="Q61" s="92" t="s">
        <v>1</v>
      </c>
    </row>
    <row r="62" spans="1:18">
      <c r="A62" s="100" t="s">
        <v>27</v>
      </c>
      <c r="B62" s="101">
        <v>7758</v>
      </c>
      <c r="C62" s="101">
        <v>5992</v>
      </c>
      <c r="D62" s="102">
        <f t="shared" si="3"/>
        <v>0.77236401134312971</v>
      </c>
      <c r="E62" s="112">
        <v>22700</v>
      </c>
      <c r="F62" s="103">
        <v>6956</v>
      </c>
      <c r="G62" s="112">
        <f t="shared" si="4"/>
        <v>21067</v>
      </c>
      <c r="H62" s="113">
        <f t="shared" si="6"/>
        <v>0.92806167400881057</v>
      </c>
      <c r="I62" s="105">
        <v>28023</v>
      </c>
      <c r="J62" s="105">
        <v>0</v>
      </c>
      <c r="K62" s="112">
        <f t="shared" si="5"/>
        <v>28023</v>
      </c>
      <c r="L62" s="14" t="s">
        <v>27</v>
      </c>
      <c r="M62" s="106"/>
      <c r="O62" s="92" t="s">
        <v>1</v>
      </c>
      <c r="P62" s="92" t="s">
        <v>1</v>
      </c>
      <c r="Q62" s="92" t="s">
        <v>1</v>
      </c>
    </row>
    <row r="63" spans="1:18">
      <c r="A63" s="100" t="s">
        <v>76</v>
      </c>
      <c r="B63" s="101">
        <v>1476</v>
      </c>
      <c r="C63" s="101" t="s">
        <v>139</v>
      </c>
      <c r="D63" s="102" t="str">
        <f t="shared" si="3"/>
        <v>&gt;115%</v>
      </c>
      <c r="E63" s="112">
        <v>3770</v>
      </c>
      <c r="F63" s="103">
        <v>0</v>
      </c>
      <c r="G63" s="112">
        <f t="shared" si="4"/>
        <v>3748</v>
      </c>
      <c r="H63" s="113">
        <f t="shared" si="6"/>
        <v>0.99416445623342176</v>
      </c>
      <c r="I63" s="105">
        <v>3748</v>
      </c>
      <c r="J63" s="105">
        <v>0</v>
      </c>
      <c r="K63" s="112">
        <f t="shared" si="5"/>
        <v>3748</v>
      </c>
      <c r="L63" s="14" t="s">
        <v>76</v>
      </c>
      <c r="M63" s="106"/>
      <c r="N63" s="92" t="s">
        <v>1</v>
      </c>
      <c r="Q63" s="92" t="s">
        <v>1</v>
      </c>
    </row>
    <row r="64" spans="1:18">
      <c r="A64" s="100" t="s">
        <v>18</v>
      </c>
      <c r="B64" s="101">
        <v>1654</v>
      </c>
      <c r="C64" s="101">
        <v>2005</v>
      </c>
      <c r="D64" s="102">
        <f t="shared" si="3"/>
        <v>1.2122128174123337</v>
      </c>
      <c r="E64" s="112" t="s">
        <v>30</v>
      </c>
      <c r="F64" s="103">
        <v>0</v>
      </c>
      <c r="G64" s="112">
        <f t="shared" si="4"/>
        <v>2331.3000000000002</v>
      </c>
      <c r="H64" s="113" t="s">
        <v>30</v>
      </c>
      <c r="I64" s="105">
        <v>2331.3000000000002</v>
      </c>
      <c r="J64" s="105">
        <v>0</v>
      </c>
      <c r="K64" s="112">
        <f t="shared" si="5"/>
        <v>2331.3000000000002</v>
      </c>
      <c r="L64" s="14" t="s">
        <v>18</v>
      </c>
      <c r="M64" s="106"/>
      <c r="N64" s="92" t="s">
        <v>1</v>
      </c>
      <c r="Q64" s="92" t="s">
        <v>1</v>
      </c>
    </row>
    <row r="65" spans="1:17">
      <c r="A65" s="100" t="s">
        <v>77</v>
      </c>
      <c r="B65" s="101">
        <v>959</v>
      </c>
      <c r="C65" s="101" t="s">
        <v>140</v>
      </c>
      <c r="D65" s="102" t="str">
        <f t="shared" si="3"/>
        <v>&gt;115%</v>
      </c>
      <c r="E65" s="112">
        <v>2010</v>
      </c>
      <c r="F65" s="103">
        <v>0</v>
      </c>
      <c r="G65" s="112">
        <f>I65-F65</f>
        <v>2421.5</v>
      </c>
      <c r="H65" s="113">
        <f t="shared" si="6"/>
        <v>1.204726368159204</v>
      </c>
      <c r="I65" s="105">
        <v>2421.5</v>
      </c>
      <c r="J65" s="105">
        <v>0</v>
      </c>
      <c r="K65" s="112">
        <f t="shared" si="5"/>
        <v>2421.5</v>
      </c>
      <c r="L65" s="14" t="s">
        <v>77</v>
      </c>
      <c r="M65" s="106"/>
      <c r="N65" s="92" t="s">
        <v>1</v>
      </c>
      <c r="Q65" s="92" t="s">
        <v>1</v>
      </c>
    </row>
    <row r="66" spans="1:17" ht="15.75">
      <c r="A66" s="100" t="s">
        <v>28</v>
      </c>
      <c r="B66" s="101">
        <v>3628</v>
      </c>
      <c r="C66" s="114">
        <v>5312</v>
      </c>
      <c r="D66" s="102">
        <f t="shared" si="3"/>
        <v>1.464167585446527</v>
      </c>
      <c r="E66" s="112">
        <v>5760</v>
      </c>
      <c r="F66" s="103">
        <v>0</v>
      </c>
      <c r="G66" s="112">
        <f t="shared" si="4"/>
        <v>5674</v>
      </c>
      <c r="H66" s="113">
        <f t="shared" si="6"/>
        <v>0.98506944444444444</v>
      </c>
      <c r="I66" s="105">
        <v>5674</v>
      </c>
      <c r="J66" s="95">
        <v>0</v>
      </c>
      <c r="K66" s="112">
        <f t="shared" si="5"/>
        <v>5674</v>
      </c>
      <c r="L66" s="14" t="s">
        <v>28</v>
      </c>
      <c r="M66" s="106"/>
      <c r="N66" s="92" t="s">
        <v>1</v>
      </c>
      <c r="O66" s="92" t="s">
        <v>1</v>
      </c>
      <c r="Q66" s="92" t="s">
        <v>1</v>
      </c>
    </row>
    <row r="67" spans="1:17">
      <c r="A67" s="100" t="s">
        <v>78</v>
      </c>
      <c r="B67" s="101">
        <v>1481</v>
      </c>
      <c r="C67" s="101" t="s">
        <v>141</v>
      </c>
      <c r="D67" s="102" t="str">
        <f t="shared" si="3"/>
        <v>&gt;115%</v>
      </c>
      <c r="E67" s="112">
        <v>2940</v>
      </c>
      <c r="F67" s="103">
        <v>0</v>
      </c>
      <c r="G67" s="112">
        <f t="shared" si="4"/>
        <v>2916</v>
      </c>
      <c r="H67" s="113">
        <f t="shared" si="6"/>
        <v>0.99183673469387756</v>
      </c>
      <c r="I67" s="105">
        <v>2916</v>
      </c>
      <c r="J67" s="95">
        <v>0</v>
      </c>
      <c r="K67" s="112">
        <f t="shared" si="5"/>
        <v>2916</v>
      </c>
      <c r="L67" s="14" t="s">
        <v>78</v>
      </c>
      <c r="M67" s="106"/>
      <c r="N67" s="92" t="s">
        <v>1</v>
      </c>
      <c r="O67" s="92" t="s">
        <v>1</v>
      </c>
      <c r="Q67" s="92" t="s">
        <v>1</v>
      </c>
    </row>
    <row r="68" spans="1:17">
      <c r="A68" s="100" t="s">
        <v>79</v>
      </c>
      <c r="B68" s="101" t="s">
        <v>30</v>
      </c>
      <c r="C68" s="101" t="s">
        <v>30</v>
      </c>
      <c r="D68" s="102" t="s">
        <v>30</v>
      </c>
      <c r="E68" s="112">
        <v>60</v>
      </c>
      <c r="F68" s="103">
        <v>0</v>
      </c>
      <c r="G68" s="112">
        <f t="shared" si="4"/>
        <v>60</v>
      </c>
      <c r="H68" s="113">
        <f t="shared" si="6"/>
        <v>1</v>
      </c>
      <c r="I68" s="105">
        <v>60</v>
      </c>
      <c r="J68" s="95">
        <v>0</v>
      </c>
      <c r="K68" s="112">
        <f t="shared" si="5"/>
        <v>60</v>
      </c>
      <c r="L68" s="14" t="s">
        <v>79</v>
      </c>
      <c r="M68" s="106"/>
      <c r="N68" s="92" t="s">
        <v>1</v>
      </c>
      <c r="O68" s="92" t="s">
        <v>1</v>
      </c>
      <c r="Q68" s="92" t="s">
        <v>1</v>
      </c>
    </row>
    <row r="69" spans="1:17">
      <c r="A69" s="100" t="s">
        <v>80</v>
      </c>
      <c r="B69" s="101">
        <v>3016</v>
      </c>
      <c r="C69" s="101" t="s">
        <v>142</v>
      </c>
      <c r="D69" s="102" t="str">
        <f t="shared" si="3"/>
        <v>&gt;115%</v>
      </c>
      <c r="E69" s="112">
        <v>8120</v>
      </c>
      <c r="F69" s="103">
        <v>281</v>
      </c>
      <c r="G69" s="112">
        <f t="shared" si="4"/>
        <v>7984</v>
      </c>
      <c r="H69" s="113">
        <f t="shared" si="6"/>
        <v>0.98325123152709359</v>
      </c>
      <c r="I69" s="105">
        <v>8265</v>
      </c>
      <c r="J69" s="95">
        <v>0</v>
      </c>
      <c r="K69" s="112">
        <f t="shared" si="5"/>
        <v>8265</v>
      </c>
      <c r="L69" s="14" t="s">
        <v>80</v>
      </c>
      <c r="M69" s="106"/>
      <c r="N69" s="92" t="s">
        <v>1</v>
      </c>
      <c r="O69" s="92" t="s">
        <v>1</v>
      </c>
      <c r="Q69" s="92" t="s">
        <v>1</v>
      </c>
    </row>
    <row r="70" spans="1:17">
      <c r="A70" s="100" t="s">
        <v>81</v>
      </c>
      <c r="B70" s="101">
        <v>232</v>
      </c>
      <c r="C70" s="101" t="s">
        <v>143</v>
      </c>
      <c r="D70" s="102" t="str">
        <f t="shared" si="3"/>
        <v>&gt;115%</v>
      </c>
      <c r="E70" s="112">
        <v>2770</v>
      </c>
      <c r="F70" s="103">
        <v>0</v>
      </c>
      <c r="G70" s="112">
        <f t="shared" si="4"/>
        <v>2664</v>
      </c>
      <c r="H70" s="113">
        <f t="shared" si="6"/>
        <v>0.96173285198555958</v>
      </c>
      <c r="I70" s="105">
        <v>2664</v>
      </c>
      <c r="J70" s="95">
        <v>0</v>
      </c>
      <c r="K70" s="112">
        <f t="shared" si="5"/>
        <v>2664</v>
      </c>
      <c r="L70" s="14" t="s">
        <v>81</v>
      </c>
      <c r="M70" s="106"/>
      <c r="N70" s="92" t="s">
        <v>1</v>
      </c>
      <c r="O70" s="92" t="s">
        <v>1</v>
      </c>
      <c r="Q70" s="92" t="s">
        <v>1</v>
      </c>
    </row>
    <row r="71" spans="1:17">
      <c r="A71" s="100" t="s">
        <v>19</v>
      </c>
      <c r="B71" s="101">
        <v>3888</v>
      </c>
      <c r="C71" s="101">
        <v>5770</v>
      </c>
      <c r="D71" s="102">
        <f t="shared" si="3"/>
        <v>1.4840534979423867</v>
      </c>
      <c r="E71" s="112">
        <v>5830</v>
      </c>
      <c r="F71" s="103">
        <v>0</v>
      </c>
      <c r="G71" s="112">
        <f t="shared" si="4"/>
        <v>5758</v>
      </c>
      <c r="H71" s="113">
        <f t="shared" si="6"/>
        <v>0.98765008576329327</v>
      </c>
      <c r="I71" s="105">
        <v>5758</v>
      </c>
      <c r="J71" s="95">
        <v>0</v>
      </c>
      <c r="K71" s="112">
        <f t="shared" si="5"/>
        <v>5758</v>
      </c>
      <c r="L71" s="14" t="s">
        <v>19</v>
      </c>
      <c r="M71" s="106"/>
      <c r="N71" s="92" t="s">
        <v>1</v>
      </c>
      <c r="O71" s="92" t="s">
        <v>1</v>
      </c>
      <c r="Q71" s="92" t="s">
        <v>1</v>
      </c>
    </row>
    <row r="72" spans="1:17">
      <c r="A72" s="100" t="s">
        <v>82</v>
      </c>
      <c r="B72" s="101">
        <v>1187</v>
      </c>
      <c r="C72" s="101">
        <v>5312</v>
      </c>
      <c r="D72" s="102">
        <f t="shared" si="3"/>
        <v>4.4751474304970511</v>
      </c>
      <c r="E72" s="112">
        <v>7220</v>
      </c>
      <c r="F72" s="103">
        <v>1274</v>
      </c>
      <c r="G72" s="112">
        <f t="shared" si="4"/>
        <v>7074</v>
      </c>
      <c r="H72" s="113">
        <f t="shared" si="6"/>
        <v>0.9797783933518005</v>
      </c>
      <c r="I72" s="105">
        <v>8348</v>
      </c>
      <c r="J72" s="95">
        <v>0</v>
      </c>
      <c r="K72" s="112">
        <f t="shared" si="5"/>
        <v>8348</v>
      </c>
      <c r="L72" s="14" t="s">
        <v>82</v>
      </c>
      <c r="M72" s="106"/>
      <c r="N72" s="92" t="s">
        <v>1</v>
      </c>
      <c r="O72" s="92" t="s">
        <v>1</v>
      </c>
      <c r="Q72" s="92" t="s">
        <v>1</v>
      </c>
    </row>
    <row r="73" spans="1:17">
      <c r="A73" s="100" t="s">
        <v>16</v>
      </c>
      <c r="B73" s="101">
        <v>6481</v>
      </c>
      <c r="C73" s="101">
        <v>8873</v>
      </c>
      <c r="D73" s="102">
        <f t="shared" si="3"/>
        <v>1.3690788458571208</v>
      </c>
      <c r="E73" s="112">
        <v>9770</v>
      </c>
      <c r="F73" s="103">
        <v>392</v>
      </c>
      <c r="G73" s="112">
        <f t="shared" si="4"/>
        <v>9363</v>
      </c>
      <c r="H73" s="113">
        <f>G73/E73</f>
        <v>0.9583418628454452</v>
      </c>
      <c r="I73" s="105">
        <v>9755</v>
      </c>
      <c r="J73" s="95">
        <v>0</v>
      </c>
      <c r="K73" s="112">
        <f t="shared" si="5"/>
        <v>9755</v>
      </c>
      <c r="L73" s="14" t="s">
        <v>16</v>
      </c>
      <c r="M73" s="106"/>
      <c r="N73" s="92" t="s">
        <v>1</v>
      </c>
      <c r="O73" s="92" t="s">
        <v>1</v>
      </c>
      <c r="Q73" s="92" t="s">
        <v>1</v>
      </c>
    </row>
    <row r="74" spans="1:17">
      <c r="A74" s="100" t="s">
        <v>17</v>
      </c>
      <c r="B74" s="101">
        <v>2712</v>
      </c>
      <c r="C74" s="101">
        <v>4656</v>
      </c>
      <c r="D74" s="102">
        <f t="shared" si="3"/>
        <v>1.7168141592920354</v>
      </c>
      <c r="E74" s="112" t="s">
        <v>30</v>
      </c>
      <c r="F74" s="103">
        <v>0</v>
      </c>
      <c r="G74" s="112">
        <f t="shared" si="4"/>
        <v>4721.3999999999996</v>
      </c>
      <c r="H74" s="113" t="s">
        <v>30</v>
      </c>
      <c r="I74" s="105">
        <v>4721.3999999999996</v>
      </c>
      <c r="J74" s="95">
        <v>0</v>
      </c>
      <c r="K74" s="112">
        <f t="shared" si="5"/>
        <v>4721.3999999999996</v>
      </c>
      <c r="L74" s="14" t="s">
        <v>17</v>
      </c>
      <c r="M74" s="106"/>
      <c r="N74" s="92" t="s">
        <v>1</v>
      </c>
      <c r="O74" s="92" t="s">
        <v>1</v>
      </c>
      <c r="Q74" s="92" t="s">
        <v>1</v>
      </c>
    </row>
    <row r="75" spans="1:17">
      <c r="A75" s="100" t="s">
        <v>83</v>
      </c>
      <c r="B75" s="101" t="s">
        <v>30</v>
      </c>
      <c r="C75" s="101" t="s">
        <v>30</v>
      </c>
      <c r="D75" s="102" t="s">
        <v>30</v>
      </c>
      <c r="E75" s="112">
        <v>390</v>
      </c>
      <c r="F75" s="103">
        <v>0</v>
      </c>
      <c r="G75" s="112">
        <f t="shared" si="4"/>
        <v>376</v>
      </c>
      <c r="H75" s="113">
        <f t="shared" si="6"/>
        <v>0.96410256410256412</v>
      </c>
      <c r="I75" s="105">
        <v>376</v>
      </c>
      <c r="J75" s="95">
        <v>0</v>
      </c>
      <c r="K75" s="112">
        <f t="shared" si="5"/>
        <v>376</v>
      </c>
      <c r="L75" s="14" t="s">
        <v>83</v>
      </c>
      <c r="M75" s="106"/>
      <c r="N75" s="92" t="s">
        <v>1</v>
      </c>
      <c r="O75" s="92" t="s">
        <v>1</v>
      </c>
      <c r="Q75" s="92" t="s">
        <v>1</v>
      </c>
    </row>
    <row r="76" spans="1:17">
      <c r="A76" s="100" t="s">
        <v>14</v>
      </c>
      <c r="B76" s="101">
        <v>5903</v>
      </c>
      <c r="C76" s="101">
        <v>6904</v>
      </c>
      <c r="D76" s="102">
        <f t="shared" si="3"/>
        <v>1.1695747924784008</v>
      </c>
      <c r="E76" s="115"/>
      <c r="F76" s="115"/>
      <c r="G76" s="116" t="s">
        <v>1</v>
      </c>
      <c r="H76" s="116"/>
      <c r="I76" s="112">
        <v>30138</v>
      </c>
      <c r="J76" s="112">
        <f>J52+J63+J66+J69+J73+J75</f>
        <v>0</v>
      </c>
      <c r="K76" s="116"/>
      <c r="L76" s="14" t="s">
        <v>14</v>
      </c>
      <c r="M76" s="92" t="s">
        <v>1</v>
      </c>
      <c r="N76" s="92" t="s">
        <v>1</v>
      </c>
      <c r="O76" s="92" t="s">
        <v>1</v>
      </c>
      <c r="Q76" s="92" t="s">
        <v>1</v>
      </c>
    </row>
    <row r="77" spans="1:17">
      <c r="A77" s="100" t="s">
        <v>15</v>
      </c>
      <c r="B77" s="101">
        <v>6131</v>
      </c>
      <c r="C77" s="101">
        <v>5862</v>
      </c>
      <c r="D77" s="102">
        <f t="shared" si="3"/>
        <v>0.95612461262436799</v>
      </c>
      <c r="E77" s="117"/>
      <c r="F77" s="117"/>
      <c r="G77" s="117"/>
      <c r="H77" s="117"/>
      <c r="I77" s="112">
        <v>11918</v>
      </c>
      <c r="J77" s="112">
        <f>J57+J71</f>
        <v>0</v>
      </c>
      <c r="K77" s="117"/>
      <c r="L77" s="14" t="s">
        <v>15</v>
      </c>
      <c r="M77" s="92" t="s">
        <v>1</v>
      </c>
      <c r="N77" s="92" t="s">
        <v>1</v>
      </c>
      <c r="O77" s="92" t="s">
        <v>1</v>
      </c>
      <c r="Q77" s="92" t="s">
        <v>1</v>
      </c>
    </row>
    <row r="78" spans="1:17" ht="15.75">
      <c r="A78" s="100" t="s">
        <v>84</v>
      </c>
      <c r="B78" s="101">
        <v>-6515</v>
      </c>
      <c r="C78" s="101" t="s">
        <v>144</v>
      </c>
      <c r="D78" s="95" t="s">
        <v>144</v>
      </c>
      <c r="E78" s="117"/>
      <c r="F78" s="117"/>
      <c r="G78" s="117"/>
      <c r="H78" s="117"/>
      <c r="I78" s="112">
        <v>13928</v>
      </c>
      <c r="J78" s="112">
        <f>J67+J70+J72</f>
        <v>0</v>
      </c>
      <c r="K78" s="117"/>
      <c r="L78" s="14" t="s">
        <v>84</v>
      </c>
      <c r="M78" s="92" t="s">
        <v>1</v>
      </c>
      <c r="N78" s="92" t="s">
        <v>1</v>
      </c>
      <c r="O78" s="92" t="s">
        <v>1</v>
      </c>
      <c r="Q78" s="118"/>
    </row>
    <row r="79" spans="1:17" ht="15.75">
      <c r="A79" s="100" t="s">
        <v>13</v>
      </c>
      <c r="B79" s="101">
        <v>-187</v>
      </c>
      <c r="C79" s="101">
        <v>1318</v>
      </c>
      <c r="D79" s="95" t="s">
        <v>144</v>
      </c>
      <c r="E79" s="117"/>
      <c r="F79" s="117"/>
      <c r="G79" s="117"/>
      <c r="H79" s="117"/>
      <c r="I79" s="112">
        <v>55984</v>
      </c>
      <c r="J79" s="112">
        <f>J76+J77+J78</f>
        <v>0</v>
      </c>
      <c r="K79" s="117"/>
      <c r="L79" s="14" t="s">
        <v>13</v>
      </c>
      <c r="P79" s="118"/>
      <c r="Q79" s="118"/>
    </row>
    <row r="80" spans="1:17" ht="15.75">
      <c r="A80" s="100" t="s">
        <v>85</v>
      </c>
      <c r="B80" s="101">
        <v>6197</v>
      </c>
      <c r="C80" s="101" t="s">
        <v>86</v>
      </c>
      <c r="D80" s="95" t="s">
        <v>156</v>
      </c>
      <c r="E80" s="119"/>
      <c r="F80" s="120"/>
      <c r="G80" s="120"/>
      <c r="H80" s="120"/>
      <c r="I80" s="112">
        <v>81946.5</v>
      </c>
      <c r="J80" s="112">
        <f>J53+J54+J55+J58+J59+J60+J61+J65</f>
        <v>11555.999999999998</v>
      </c>
      <c r="K80" s="120"/>
      <c r="L80" s="14" t="s">
        <v>85</v>
      </c>
      <c r="P80" s="118"/>
      <c r="Q80" s="118"/>
    </row>
    <row r="81" spans="1:16" ht="15.75">
      <c r="A81" s="216" t="s">
        <v>87</v>
      </c>
      <c r="B81" s="217"/>
      <c r="C81" s="217"/>
      <c r="D81" s="217"/>
      <c r="E81" s="217"/>
      <c r="F81" s="217"/>
      <c r="G81" s="217"/>
      <c r="H81" s="217"/>
      <c r="I81" s="217"/>
      <c r="J81" s="217"/>
      <c r="K81" t="s">
        <v>1</v>
      </c>
      <c r="O81" s="118"/>
      <c r="P81" s="118"/>
    </row>
    <row r="82" spans="1:16" ht="15.75">
      <c r="A82" s="121" t="s">
        <v>88</v>
      </c>
      <c r="B82" s="87"/>
      <c r="C82" s="87"/>
      <c r="D82" s="87"/>
      <c r="E82" s="87"/>
      <c r="F82" s="87"/>
      <c r="G82" s="87"/>
      <c r="H82" s="87"/>
      <c r="I82" s="87"/>
      <c r="J82" s="87"/>
      <c r="O82" s="118"/>
      <c r="P82" s="118"/>
    </row>
    <row r="83" spans="1:16" ht="15.75">
      <c r="A83" s="121" t="s">
        <v>157</v>
      </c>
      <c r="B83" s="87"/>
      <c r="C83" s="87"/>
      <c r="D83" s="87"/>
      <c r="E83" s="87"/>
      <c r="F83" s="87"/>
      <c r="G83" s="87"/>
      <c r="H83" s="87"/>
      <c r="I83" s="87"/>
      <c r="J83" s="87"/>
      <c r="O83" s="118"/>
      <c r="P83" s="118"/>
    </row>
    <row r="84" spans="1:16" ht="15.75">
      <c r="A84" s="203" t="s">
        <v>1</v>
      </c>
      <c r="B84" s="204"/>
      <c r="C84" s="204"/>
      <c r="D84" s="204"/>
      <c r="E84" s="204"/>
      <c r="F84" s="204"/>
      <c r="G84" s="204"/>
      <c r="H84" s="204"/>
      <c r="I84" s="204"/>
      <c r="J84" s="204"/>
      <c r="K84" t="s">
        <v>1</v>
      </c>
      <c r="O84" s="118"/>
      <c r="P84" s="118"/>
    </row>
    <row r="85" spans="1:16" ht="15.75">
      <c r="A85" s="205" t="s">
        <v>89</v>
      </c>
      <c r="B85" s="206"/>
      <c r="C85" s="206"/>
      <c r="D85" s="206"/>
      <c r="E85" s="206"/>
      <c r="F85" s="206"/>
      <c r="G85" s="206"/>
      <c r="H85" s="206"/>
      <c r="I85" s="206"/>
      <c r="J85" s="207"/>
      <c r="K85" t="s">
        <v>1</v>
      </c>
    </row>
    <row r="86" spans="1:16" ht="15.75">
      <c r="A86" s="90" t="s">
        <v>90</v>
      </c>
      <c r="B86" s="220" t="s">
        <v>91</v>
      </c>
      <c r="C86" s="221"/>
      <c r="D86" s="220" t="s">
        <v>92</v>
      </c>
      <c r="E86" s="222"/>
      <c r="F86" s="222"/>
      <c r="G86" s="222"/>
      <c r="H86" s="222"/>
      <c r="I86" s="222"/>
      <c r="J86" s="221"/>
      <c r="K86" t="s">
        <v>1</v>
      </c>
    </row>
    <row r="87" spans="1:16" ht="39.950000000000003" customHeight="1">
      <c r="A87" s="100" t="s">
        <v>13</v>
      </c>
      <c r="B87" s="223" t="s">
        <v>158</v>
      </c>
      <c r="C87" s="224"/>
      <c r="D87" s="225" t="s">
        <v>145</v>
      </c>
      <c r="E87" s="226"/>
      <c r="F87" s="226"/>
      <c r="G87" s="226"/>
      <c r="H87" s="226"/>
      <c r="I87" s="226"/>
      <c r="J87" s="227"/>
      <c r="K87" t="s">
        <v>1</v>
      </c>
    </row>
    <row r="88" spans="1:16" ht="39.950000000000003" customHeight="1">
      <c r="A88" s="100" t="s">
        <v>14</v>
      </c>
      <c r="B88" s="223" t="s">
        <v>93</v>
      </c>
      <c r="C88" s="224"/>
      <c r="D88" s="228" t="s">
        <v>146</v>
      </c>
      <c r="E88" s="229"/>
      <c r="F88" s="229"/>
      <c r="G88" s="229"/>
      <c r="H88" s="229"/>
      <c r="I88" s="229"/>
      <c r="J88" s="230"/>
      <c r="K88" t="s">
        <v>1</v>
      </c>
    </row>
    <row r="89" spans="1:16" ht="39.950000000000003" customHeight="1">
      <c r="A89" s="100" t="s">
        <v>15</v>
      </c>
      <c r="B89" s="223" t="s">
        <v>98</v>
      </c>
      <c r="C89" s="224"/>
      <c r="D89" s="225" t="s">
        <v>147</v>
      </c>
      <c r="E89" s="226"/>
      <c r="F89" s="226"/>
      <c r="G89" s="226"/>
      <c r="H89" s="226"/>
      <c r="I89" s="226"/>
      <c r="J89" s="227"/>
      <c r="K89" t="s">
        <v>1</v>
      </c>
    </row>
    <row r="90" spans="1:16" ht="51.95" customHeight="1">
      <c r="A90" s="100" t="s">
        <v>16</v>
      </c>
      <c r="B90" s="223" t="s">
        <v>93</v>
      </c>
      <c r="C90" s="224"/>
      <c r="D90" s="225" t="s">
        <v>148</v>
      </c>
      <c r="E90" s="226"/>
      <c r="F90" s="226"/>
      <c r="G90" s="226"/>
      <c r="H90" s="226"/>
      <c r="I90" s="226"/>
      <c r="J90" s="227"/>
      <c r="K90" t="s">
        <v>1</v>
      </c>
    </row>
    <row r="91" spans="1:16" ht="51.95" customHeight="1">
      <c r="A91" s="100" t="s">
        <v>94</v>
      </c>
      <c r="B91" s="223" t="s">
        <v>95</v>
      </c>
      <c r="C91" s="224"/>
      <c r="D91" s="231" t="s">
        <v>149</v>
      </c>
      <c r="E91" s="232"/>
      <c r="F91" s="232"/>
      <c r="G91" s="232"/>
      <c r="H91" s="232"/>
      <c r="I91" s="232"/>
      <c r="J91" s="233"/>
      <c r="K91" t="s">
        <v>1</v>
      </c>
    </row>
    <row r="92" spans="1:16" ht="40.5" customHeight="1">
      <c r="A92" s="100" t="s">
        <v>96</v>
      </c>
      <c r="B92" s="223" t="s">
        <v>95</v>
      </c>
      <c r="C92" s="224"/>
      <c r="D92" s="225" t="s">
        <v>150</v>
      </c>
      <c r="E92" s="226"/>
      <c r="F92" s="226"/>
      <c r="G92" s="226"/>
      <c r="H92" s="226"/>
      <c r="I92" s="226"/>
      <c r="J92" s="227"/>
      <c r="K92" t="s">
        <v>1</v>
      </c>
    </row>
    <row r="93" spans="1:16" ht="39.950000000000003" customHeight="1">
      <c r="A93" s="100" t="s">
        <v>19</v>
      </c>
      <c r="B93" s="223" t="s">
        <v>159</v>
      </c>
      <c r="C93" s="224"/>
      <c r="D93" s="225" t="s">
        <v>145</v>
      </c>
      <c r="E93" s="226"/>
      <c r="F93" s="226"/>
      <c r="G93" s="226"/>
      <c r="H93" s="226"/>
      <c r="I93" s="226"/>
      <c r="J93" s="227"/>
      <c r="K93" t="s">
        <v>1</v>
      </c>
    </row>
    <row r="94" spans="1:16" ht="39.950000000000003" customHeight="1">
      <c r="A94" s="100" t="s">
        <v>20</v>
      </c>
      <c r="B94" s="223" t="s">
        <v>93</v>
      </c>
      <c r="C94" s="224"/>
      <c r="D94" s="225" t="s">
        <v>151</v>
      </c>
      <c r="E94" s="226"/>
      <c r="F94" s="226"/>
      <c r="G94" s="226"/>
      <c r="H94" s="226"/>
      <c r="I94" s="226"/>
      <c r="J94" s="227"/>
      <c r="K94" t="s">
        <v>1</v>
      </c>
    </row>
    <row r="95" spans="1:16" ht="39.950000000000003" customHeight="1">
      <c r="A95" s="100" t="s">
        <v>74</v>
      </c>
      <c r="B95" s="223" t="s">
        <v>97</v>
      </c>
      <c r="C95" s="224"/>
      <c r="D95" s="225" t="s">
        <v>160</v>
      </c>
      <c r="E95" s="226"/>
      <c r="F95" s="226"/>
      <c r="G95" s="226"/>
      <c r="H95" s="226"/>
      <c r="I95" s="226"/>
      <c r="J95" s="227"/>
      <c r="K95" t="s">
        <v>1</v>
      </c>
    </row>
    <row r="96" spans="1:16" ht="50.25" customHeight="1">
      <c r="A96" s="100" t="s">
        <v>22</v>
      </c>
      <c r="B96" s="223" t="s">
        <v>95</v>
      </c>
      <c r="C96" s="224"/>
      <c r="D96" s="225" t="s">
        <v>161</v>
      </c>
      <c r="E96" s="226"/>
      <c r="F96" s="226"/>
      <c r="G96" s="226"/>
      <c r="H96" s="226"/>
      <c r="I96" s="226"/>
      <c r="J96" s="227"/>
      <c r="K96" t="s">
        <v>1</v>
      </c>
    </row>
    <row r="97" spans="1:11" ht="39.950000000000003" customHeight="1">
      <c r="A97" s="100" t="s">
        <v>23</v>
      </c>
      <c r="B97" s="223" t="s">
        <v>98</v>
      </c>
      <c r="C97" s="224"/>
      <c r="D97" s="223" t="s">
        <v>147</v>
      </c>
      <c r="E97" s="234"/>
      <c r="F97" s="234"/>
      <c r="G97" s="234"/>
      <c r="H97" s="234"/>
      <c r="I97" s="234"/>
      <c r="J97" s="224"/>
      <c r="K97" t="s">
        <v>1</v>
      </c>
    </row>
    <row r="98" spans="1:11" ht="39.950000000000003" customHeight="1">
      <c r="A98" s="100" t="s">
        <v>24</v>
      </c>
      <c r="B98" s="223" t="s">
        <v>93</v>
      </c>
      <c r="C98" s="224"/>
      <c r="D98" s="225" t="s">
        <v>145</v>
      </c>
      <c r="E98" s="226"/>
      <c r="F98" s="226"/>
      <c r="G98" s="226"/>
      <c r="H98" s="226"/>
      <c r="I98" s="226"/>
      <c r="J98" s="227"/>
      <c r="K98" t="s">
        <v>1</v>
      </c>
    </row>
    <row r="99" spans="1:11" ht="39.950000000000003" customHeight="1">
      <c r="A99" s="100" t="s">
        <v>25</v>
      </c>
      <c r="B99" s="223" t="s">
        <v>159</v>
      </c>
      <c r="C99" s="224"/>
      <c r="D99" s="225" t="s">
        <v>152</v>
      </c>
      <c r="E99" s="226"/>
      <c r="F99" s="226"/>
      <c r="G99" s="226"/>
      <c r="H99" s="226"/>
      <c r="I99" s="226"/>
      <c r="J99" s="227"/>
      <c r="K99" t="s">
        <v>1</v>
      </c>
    </row>
    <row r="100" spans="1:11" ht="46.5" customHeight="1">
      <c r="A100" s="100" t="s">
        <v>26</v>
      </c>
      <c r="B100" s="223" t="s">
        <v>159</v>
      </c>
      <c r="C100" s="224"/>
      <c r="D100" s="225" t="s">
        <v>153</v>
      </c>
      <c r="E100" s="226"/>
      <c r="F100" s="226"/>
      <c r="G100" s="226"/>
      <c r="H100" s="226"/>
      <c r="I100" s="226"/>
      <c r="J100" s="227"/>
      <c r="K100" t="s">
        <v>1</v>
      </c>
    </row>
    <row r="101" spans="1:11" ht="39.950000000000003" customHeight="1">
      <c r="A101" s="100" t="s">
        <v>27</v>
      </c>
      <c r="B101" s="223" t="s">
        <v>93</v>
      </c>
      <c r="C101" s="224"/>
      <c r="D101" s="225" t="s">
        <v>154</v>
      </c>
      <c r="E101" s="226"/>
      <c r="F101" s="226"/>
      <c r="G101" s="226"/>
      <c r="H101" s="226"/>
      <c r="I101" s="226"/>
      <c r="J101" s="227"/>
    </row>
    <row r="102" spans="1:11" ht="57.75" customHeight="1">
      <c r="A102" s="100" t="s">
        <v>28</v>
      </c>
      <c r="B102" s="223" t="s">
        <v>93</v>
      </c>
      <c r="C102" s="224"/>
      <c r="D102" s="225" t="s">
        <v>155</v>
      </c>
      <c r="E102" s="226"/>
      <c r="F102" s="226"/>
      <c r="G102" s="226"/>
      <c r="H102" s="226"/>
      <c r="I102" s="226"/>
      <c r="J102" s="227"/>
    </row>
    <row r="103" spans="1:11">
      <c r="A103" s="238" t="s">
        <v>99</v>
      </c>
      <c r="B103" s="238"/>
      <c r="C103" s="238"/>
      <c r="D103" s="238"/>
      <c r="E103" s="238"/>
      <c r="F103" s="238"/>
      <c r="G103" s="238"/>
      <c r="H103" s="238"/>
      <c r="I103" s="238"/>
      <c r="J103" s="238"/>
    </row>
    <row r="104" spans="1:11">
      <c r="A104" s="235" t="s">
        <v>163</v>
      </c>
      <c r="B104" s="239"/>
      <c r="C104" s="239"/>
      <c r="D104" s="239"/>
      <c r="E104" s="239"/>
      <c r="F104" s="239"/>
      <c r="G104" s="239"/>
      <c r="H104" s="239"/>
      <c r="I104" s="239"/>
      <c r="J104" s="240"/>
    </row>
    <row r="105" spans="1:11">
      <c r="A105" s="235" t="s">
        <v>167</v>
      </c>
      <c r="B105" s="239"/>
      <c r="C105" s="239"/>
      <c r="D105" s="239"/>
      <c r="E105" s="239"/>
      <c r="F105" s="239"/>
      <c r="G105" s="239"/>
      <c r="H105" s="239"/>
      <c r="I105" s="239"/>
      <c r="J105" s="240"/>
    </row>
    <row r="106" spans="1:11">
      <c r="A106" s="235" t="s">
        <v>200</v>
      </c>
      <c r="B106" s="236"/>
      <c r="C106" s="236"/>
      <c r="D106" s="236"/>
      <c r="E106" s="236"/>
      <c r="F106" s="236"/>
      <c r="G106" s="236"/>
      <c r="H106" s="236"/>
      <c r="I106" s="236"/>
      <c r="J106" s="237"/>
    </row>
  </sheetData>
  <mergeCells count="51">
    <mergeCell ref="A106:J106"/>
    <mergeCell ref="B102:C102"/>
    <mergeCell ref="D102:J102"/>
    <mergeCell ref="A103:J103"/>
    <mergeCell ref="A105:J105"/>
    <mergeCell ref="A104:J104"/>
    <mergeCell ref="B99:C99"/>
    <mergeCell ref="D99:J99"/>
    <mergeCell ref="B100:C100"/>
    <mergeCell ref="D100:J100"/>
    <mergeCell ref="B101:C101"/>
    <mergeCell ref="D101:J101"/>
    <mergeCell ref="B96:C96"/>
    <mergeCell ref="D96:J96"/>
    <mergeCell ref="B97:C97"/>
    <mergeCell ref="D97:J97"/>
    <mergeCell ref="B98:C98"/>
    <mergeCell ref="D98:J98"/>
    <mergeCell ref="B93:C93"/>
    <mergeCell ref="D93:J93"/>
    <mergeCell ref="B94:C94"/>
    <mergeCell ref="D94:J94"/>
    <mergeCell ref="B95:C95"/>
    <mergeCell ref="D95:J95"/>
    <mergeCell ref="B90:C90"/>
    <mergeCell ref="D90:J90"/>
    <mergeCell ref="B91:C91"/>
    <mergeCell ref="D91:J91"/>
    <mergeCell ref="B92:C92"/>
    <mergeCell ref="D92:J92"/>
    <mergeCell ref="B86:C86"/>
    <mergeCell ref="D86:J86"/>
    <mergeCell ref="B87:C87"/>
    <mergeCell ref="D87:J87"/>
    <mergeCell ref="B89:C89"/>
    <mergeCell ref="D89:J89"/>
    <mergeCell ref="B88:C88"/>
    <mergeCell ref="D88:J88"/>
    <mergeCell ref="C11:R11"/>
    <mergeCell ref="C3:R3"/>
    <mergeCell ref="C4:R4"/>
    <mergeCell ref="C5:R5"/>
    <mergeCell ref="C7:R7"/>
    <mergeCell ref="C8:R8"/>
    <mergeCell ref="A84:J84"/>
    <mergeCell ref="A85:J85"/>
    <mergeCell ref="A21:Q21"/>
    <mergeCell ref="A31:P31"/>
    <mergeCell ref="A45:R45"/>
    <mergeCell ref="A49:I49"/>
    <mergeCell ref="A81:J81"/>
  </mergeCells>
  <conditionalFormatting sqref="C52:C80">
    <cfRule type="expression" dxfId="0" priority="1">
      <formula>COUNTIF($C$12:$P$12,"="&amp;A52)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0BDE-65FB-4F12-B575-935872BABE01}">
  <sheetPr codeName="Sheet4"/>
  <dimension ref="A1:P45"/>
  <sheetViews>
    <sheetView topLeftCell="A9" zoomScale="79" zoomScaleNormal="90" workbookViewId="0">
      <selection activeCell="I13" sqref="I13"/>
    </sheetView>
  </sheetViews>
  <sheetFormatPr defaultRowHeight="15"/>
  <cols>
    <col min="1" max="4" width="21.85546875" customWidth="1"/>
    <col min="5" max="8" width="18.85546875" customWidth="1"/>
    <col min="9" max="9" width="27.42578125" customWidth="1"/>
    <col min="10" max="10" width="28.140625" bestFit="1" customWidth="1"/>
    <col min="11" max="11" width="27.140625" customWidth="1"/>
    <col min="12" max="12" width="9.7109375" bestFit="1" customWidth="1"/>
    <col min="13" max="13" width="21" bestFit="1" customWidth="1"/>
  </cols>
  <sheetData>
    <row r="1" spans="1:14" ht="18">
      <c r="A1" s="122" t="s">
        <v>102</v>
      </c>
      <c r="B1" s="122"/>
      <c r="C1" s="122"/>
      <c r="D1" s="122"/>
      <c r="E1" s="123"/>
      <c r="F1" s="123"/>
      <c r="G1" s="123"/>
      <c r="H1" s="123"/>
      <c r="I1" s="123"/>
      <c r="J1" s="123"/>
      <c r="K1" s="123"/>
    </row>
    <row r="2" spans="1:14" ht="15.75">
      <c r="A2" s="245" t="s">
        <v>103</v>
      </c>
      <c r="B2" s="245"/>
      <c r="C2" s="245"/>
      <c r="D2" s="245"/>
      <c r="E2" s="245"/>
      <c r="F2" s="245"/>
      <c r="G2" s="245"/>
      <c r="H2" s="245"/>
      <c r="I2" s="124"/>
      <c r="J2" s="89" t="s">
        <v>1</v>
      </c>
      <c r="K2" s="89" t="s">
        <v>1</v>
      </c>
    </row>
    <row r="3" spans="1:14" ht="15.75">
      <c r="A3" s="245" t="s">
        <v>104</v>
      </c>
      <c r="B3" s="245"/>
      <c r="C3" s="245"/>
      <c r="D3" s="245"/>
      <c r="E3" s="245"/>
      <c r="F3" s="245"/>
      <c r="G3" s="245"/>
      <c r="H3" s="245"/>
      <c r="I3" s="124" t="s">
        <v>1</v>
      </c>
      <c r="J3" s="89" t="s">
        <v>1</v>
      </c>
      <c r="K3" s="89" t="s">
        <v>1</v>
      </c>
      <c r="L3" s="89" t="s">
        <v>1</v>
      </c>
      <c r="M3" s="89" t="s">
        <v>1</v>
      </c>
    </row>
    <row r="4" spans="1:14" ht="15.75">
      <c r="A4" s="245" t="s">
        <v>105</v>
      </c>
      <c r="B4" s="245"/>
      <c r="C4" s="245"/>
      <c r="D4" s="245"/>
      <c r="E4" s="245"/>
      <c r="F4" s="245"/>
      <c r="G4" s="245"/>
      <c r="H4" s="125">
        <v>0.79</v>
      </c>
      <c r="I4" s="10"/>
      <c r="J4" s="126"/>
      <c r="K4" s="126"/>
      <c r="L4" s="89" t="s">
        <v>1</v>
      </c>
      <c r="M4" s="89" t="s">
        <v>1</v>
      </c>
    </row>
    <row r="5" spans="1:14">
      <c r="A5" s="241" t="s">
        <v>106</v>
      </c>
      <c r="B5" s="241"/>
      <c r="C5" s="241"/>
      <c r="D5" s="241"/>
      <c r="E5" s="241"/>
      <c r="F5" s="241"/>
      <c r="G5" s="241"/>
      <c r="H5" s="241"/>
      <c r="J5" s="127"/>
      <c r="K5" s="128" t="s">
        <v>1</v>
      </c>
    </row>
    <row r="6" spans="1:14">
      <c r="A6" s="241" t="s">
        <v>107</v>
      </c>
      <c r="B6" s="241"/>
      <c r="C6" s="241"/>
      <c r="D6" s="241"/>
      <c r="E6" s="241"/>
      <c r="F6" s="241"/>
      <c r="G6" s="241"/>
      <c r="H6" s="241"/>
      <c r="I6" s="127"/>
      <c r="J6" s="127"/>
    </row>
    <row r="7" spans="1:14">
      <c r="A7" s="241" t="s">
        <v>108</v>
      </c>
      <c r="B7" s="241"/>
      <c r="C7" s="241"/>
      <c r="D7" s="241"/>
      <c r="E7" s="241"/>
      <c r="F7" s="241"/>
      <c r="G7" s="241"/>
      <c r="H7" s="241"/>
      <c r="I7" s="127"/>
      <c r="J7" s="127"/>
    </row>
    <row r="8" spans="1:14">
      <c r="A8" s="241" t="s">
        <v>109</v>
      </c>
      <c r="B8" s="241"/>
      <c r="C8" s="241"/>
      <c r="D8" s="241"/>
      <c r="E8" s="241"/>
      <c r="F8" s="241"/>
      <c r="G8" s="241"/>
      <c r="H8" s="241"/>
      <c r="I8" s="129"/>
      <c r="J8" s="129"/>
      <c r="K8" s="130" t="s">
        <v>1</v>
      </c>
    </row>
    <row r="9" spans="1:14">
      <c r="A9" s="241" t="s">
        <v>110</v>
      </c>
      <c r="B9" s="241"/>
      <c r="C9" s="241"/>
      <c r="D9" s="241"/>
      <c r="E9" s="241"/>
      <c r="F9" s="241"/>
      <c r="G9" s="241"/>
      <c r="H9" s="241"/>
      <c r="I9" s="127"/>
      <c r="J9" s="127"/>
      <c r="K9" s="130"/>
    </row>
    <row r="10" spans="1:14" ht="15.75" thickBot="1">
      <c r="E10" s="131" t="s">
        <v>1</v>
      </c>
      <c r="H10" s="132" t="s">
        <v>1</v>
      </c>
    </row>
    <row r="11" spans="1:14" ht="75.75" thickBot="1">
      <c r="A11" s="133" t="s">
        <v>111</v>
      </c>
      <c r="B11" s="134" t="s">
        <v>112</v>
      </c>
      <c r="C11" s="134" t="s">
        <v>113</v>
      </c>
      <c r="D11" s="134" t="s">
        <v>114</v>
      </c>
      <c r="E11" s="134" t="s">
        <v>115</v>
      </c>
      <c r="F11" s="134" t="s">
        <v>116</v>
      </c>
      <c r="G11" s="134" t="s">
        <v>117</v>
      </c>
      <c r="H11" s="134" t="s">
        <v>118</v>
      </c>
      <c r="I11" s="134" t="s">
        <v>119</v>
      </c>
      <c r="J11" s="135" t="s">
        <v>120</v>
      </c>
      <c r="L11" s="136"/>
    </row>
    <row r="12" spans="1:14" ht="15.75">
      <c r="A12" s="137" t="s">
        <v>121</v>
      </c>
      <c r="B12" s="138">
        <v>218000</v>
      </c>
      <c r="C12" s="139">
        <v>1</v>
      </c>
      <c r="D12" s="138">
        <f>B12*C12</f>
        <v>218000</v>
      </c>
      <c r="E12" s="140">
        <f>ROUND(D12/(((DATE(LEFT('Planning Parameters'!$A$1,4)*1+1,5,31)-(DATE(LEFT('Planning Parameters'!$A$1,4)*1,6,1))+1))*$H$4),2)</f>
        <v>756.03</v>
      </c>
      <c r="F12" s="141"/>
      <c r="G12" s="141"/>
      <c r="H12" s="141"/>
      <c r="I12" s="142"/>
      <c r="J12" s="143"/>
      <c r="L12" s="144"/>
      <c r="M12" s="145"/>
      <c r="N12" s="146"/>
    </row>
    <row r="13" spans="1:14" ht="15.75">
      <c r="A13" s="147" t="s">
        <v>71</v>
      </c>
      <c r="B13" s="148" t="s">
        <v>1</v>
      </c>
      <c r="C13" s="148"/>
      <c r="D13" s="148"/>
      <c r="E13" s="149">
        <f t="shared" ref="E13:E19" si="0">$E$12</f>
        <v>756.03</v>
      </c>
      <c r="F13" s="150">
        <v>49275</v>
      </c>
      <c r="G13" s="150">
        <f>F13/$H$4</f>
        <v>62373.417721518985</v>
      </c>
      <c r="H13" s="149">
        <f>MAX(($D$12-F13)/((DATE(LEFT('Planning Parameters'!$A$1,4)*1+1,5,31)-(DATE(LEFT('Planning Parameters'!$A$1,4)*1,6,1))+1)),0)</f>
        <v>462.26027397260276</v>
      </c>
      <c r="I13" s="149">
        <f>MAX(ROUND(H13/$H$4,2),0)</f>
        <v>585.14</v>
      </c>
      <c r="J13" s="151"/>
      <c r="K13" s="33"/>
      <c r="L13" s="144"/>
      <c r="M13" s="145"/>
      <c r="N13" s="146"/>
    </row>
    <row r="14" spans="1:14" ht="15.75">
      <c r="A14" s="147" t="s">
        <v>76</v>
      </c>
      <c r="B14" s="148" t="s">
        <v>1</v>
      </c>
      <c r="C14" s="148"/>
      <c r="D14" s="148"/>
      <c r="E14" s="149">
        <f t="shared" si="0"/>
        <v>756.03</v>
      </c>
      <c r="F14" s="150">
        <v>96389.2</v>
      </c>
      <c r="G14" s="150">
        <f t="shared" ref="G14:G18" si="1">F14/$H$4</f>
        <v>122011.64556962025</v>
      </c>
      <c r="H14" s="149">
        <f>MAX(($D$12-F14)/((DATE(LEFT('Planning Parameters'!$A$1,4)*1+1,5,31)-(DATE(LEFT('Planning Parameters'!$A$1,4)*1,6,1))+1)),0)</f>
        <v>333.18027397260272</v>
      </c>
      <c r="I14" s="149">
        <f>MAX(ROUND(H14/$H$4,2),0)</f>
        <v>421.75</v>
      </c>
      <c r="J14" s="152" t="s">
        <v>18</v>
      </c>
      <c r="K14" s="33"/>
      <c r="L14" s="144"/>
      <c r="M14" s="145"/>
      <c r="N14" s="146"/>
    </row>
    <row r="15" spans="1:14" ht="15.75">
      <c r="A15" s="147" t="s">
        <v>28</v>
      </c>
      <c r="B15" s="148" t="s">
        <v>1</v>
      </c>
      <c r="C15" s="148"/>
      <c r="D15" s="148"/>
      <c r="E15" s="149">
        <f t="shared" si="0"/>
        <v>756.03</v>
      </c>
      <c r="F15" s="150">
        <v>47263.850000000006</v>
      </c>
      <c r="G15" s="150">
        <f t="shared" si="1"/>
        <v>59827.658227848107</v>
      </c>
      <c r="H15" s="149">
        <f>MAX(($D$12-F15)/((DATE(LEFT('Planning Parameters'!$A$1,4)*1+1,5,31)-(DATE(LEFT('Planning Parameters'!$A$1,4)*1,6,1))+1)),0)</f>
        <v>467.77027397260275</v>
      </c>
      <c r="I15" s="149">
        <f t="shared" ref="I15:I16" si="2">MAX(ROUND(H15/$H$4,2),0)</f>
        <v>592.11</v>
      </c>
      <c r="J15" s="152" t="s">
        <v>28</v>
      </c>
      <c r="K15" s="33"/>
      <c r="L15" s="144"/>
      <c r="M15" s="145"/>
      <c r="N15" s="146"/>
    </row>
    <row r="16" spans="1:14" ht="15.75">
      <c r="A16" s="147" t="s">
        <v>122</v>
      </c>
      <c r="B16" s="148" t="s">
        <v>1</v>
      </c>
      <c r="C16" s="148"/>
      <c r="D16" s="148"/>
      <c r="E16" s="149">
        <f t="shared" si="0"/>
        <v>756.03</v>
      </c>
      <c r="F16" s="150">
        <v>76368.95</v>
      </c>
      <c r="G16" s="150">
        <f t="shared" si="1"/>
        <v>96669.556962025308</v>
      </c>
      <c r="H16" s="149">
        <f>MAX(($D$12-F16)/((DATE(LEFT('Planning Parameters'!$A$1,4)*1+1,5,31)-(DATE(LEFT('Planning Parameters'!$A$1,4)*1,6,1))+1)),0)</f>
        <v>388.03027397260269</v>
      </c>
      <c r="I16" s="149">
        <f t="shared" si="2"/>
        <v>491.18</v>
      </c>
      <c r="J16" s="151"/>
      <c r="K16" s="33"/>
      <c r="L16" s="144"/>
      <c r="M16" s="145"/>
      <c r="N16" s="146"/>
    </row>
    <row r="17" spans="1:14" ht="15.75">
      <c r="A17" s="147" t="s">
        <v>123</v>
      </c>
      <c r="B17" s="148" t="s">
        <v>1</v>
      </c>
      <c r="C17" s="148"/>
      <c r="D17" s="148"/>
      <c r="E17" s="149">
        <f t="shared" si="0"/>
        <v>756.03</v>
      </c>
      <c r="F17" s="150">
        <v>45756.4</v>
      </c>
      <c r="G17" s="150">
        <f t="shared" si="1"/>
        <v>57919.493670886077</v>
      </c>
      <c r="H17" s="149">
        <f>MAX(($D$12-F17)/((DATE(LEFT('Planning Parameters'!$A$1,4)*1+1,5,31)-(DATE(LEFT('Planning Parameters'!$A$1,4)*1,6,1))+1)),0)</f>
        <v>471.90027397260275</v>
      </c>
      <c r="I17" s="149">
        <f>MAX(ROUND(H17/$H$4,2),0)</f>
        <v>597.34</v>
      </c>
      <c r="J17" s="153" t="s">
        <v>124</v>
      </c>
      <c r="K17" s="33"/>
      <c r="L17" s="144"/>
      <c r="M17" s="145"/>
      <c r="N17" s="146"/>
    </row>
    <row r="18" spans="1:14" ht="15.75">
      <c r="A18" s="147" t="s">
        <v>83</v>
      </c>
      <c r="B18" s="148" t="s">
        <v>1</v>
      </c>
      <c r="C18" s="148"/>
      <c r="D18" s="148"/>
      <c r="E18" s="149">
        <f t="shared" si="0"/>
        <v>756.03</v>
      </c>
      <c r="F18" s="150">
        <v>53932.399999999994</v>
      </c>
      <c r="G18" s="150">
        <f t="shared" si="1"/>
        <v>68268.860759493662</v>
      </c>
      <c r="H18" s="149">
        <f>MAX(($D$12-F18)/((DATE(LEFT('Planning Parameters'!$A$1,4)*1+1,5,31)-(DATE(LEFT('Planning Parameters'!$A$1,4)*1,6,1))+1)),0)</f>
        <v>449.50027397260277</v>
      </c>
      <c r="I18" s="149">
        <f>MAX(ROUND(H18/$H$4,2),0)</f>
        <v>568.99</v>
      </c>
      <c r="J18" s="151"/>
      <c r="K18" s="33"/>
      <c r="L18" s="144"/>
      <c r="M18" s="145"/>
      <c r="N18" s="146"/>
    </row>
    <row r="19" spans="1:14" ht="16.5" thickBot="1">
      <c r="A19" s="154" t="s">
        <v>14</v>
      </c>
      <c r="B19" s="155" t="s">
        <v>1</v>
      </c>
      <c r="C19" s="155"/>
      <c r="D19" s="155"/>
      <c r="E19" s="156">
        <f t="shared" si="0"/>
        <v>756.03</v>
      </c>
      <c r="F19" s="157">
        <f>_xlfn.PERCENTILE.INC(F13:F18,0.67)</f>
        <v>61785.19249999999</v>
      </c>
      <c r="G19" s="157">
        <f>_xlfn.PERCENTILE.INC(G13:G18,0.67)</f>
        <v>78209.104430379724</v>
      </c>
      <c r="H19" s="149">
        <f>MAX(($D$12-F19)/((DATE(LEFT('Planning Parameters'!$A$1,4)*1+1,5,31)-(DATE(LEFT('Planning Parameters'!$A$1,4)*1,6,1))+1)),0)</f>
        <v>427.98577397260271</v>
      </c>
      <c r="I19" s="149">
        <f>MAX(ROUND(H19/$H$4,2),0)</f>
        <v>541.75</v>
      </c>
      <c r="J19" s="158" t="s">
        <v>14</v>
      </c>
      <c r="K19" s="33"/>
      <c r="L19" s="144"/>
      <c r="M19" s="145"/>
      <c r="N19" s="146"/>
    </row>
    <row r="20" spans="1:14" ht="15.75">
      <c r="A20" s="137" t="s">
        <v>125</v>
      </c>
      <c r="B20" s="138">
        <v>222000</v>
      </c>
      <c r="C20" s="139">
        <v>1</v>
      </c>
      <c r="D20" s="138">
        <f>B20*C20</f>
        <v>222000</v>
      </c>
      <c r="E20" s="140">
        <f>ROUND(D20/(((DATE(LEFT('Planning Parameters'!$A$1,4)*1+1,5,31)-(DATE(LEFT('Planning Parameters'!$A$1,4)*1,6,1))+1))*$H$4),2)</f>
        <v>769.9</v>
      </c>
      <c r="F20" s="159"/>
      <c r="G20" s="159"/>
      <c r="H20" s="140"/>
      <c r="I20" s="160" t="s">
        <v>1</v>
      </c>
      <c r="J20" s="143"/>
      <c r="K20" s="33"/>
      <c r="L20" s="144"/>
      <c r="M20" s="145"/>
      <c r="N20" s="146"/>
    </row>
    <row r="21" spans="1:14" ht="15.75">
      <c r="A21" s="147" t="s">
        <v>23</v>
      </c>
      <c r="B21" s="148" t="s">
        <v>1</v>
      </c>
      <c r="C21" s="148"/>
      <c r="D21" s="148"/>
      <c r="E21" s="149">
        <f>$E$20</f>
        <v>769.9</v>
      </c>
      <c r="F21" s="150">
        <v>141353.54999999999</v>
      </c>
      <c r="G21" s="150">
        <f t="shared" ref="G21:G22" si="3">F21/$H$4</f>
        <v>178928.54430379745</v>
      </c>
      <c r="H21" s="149">
        <f>MAX(($D$20-F21)/((DATE(LEFT('Planning Parameters'!$A$1,4)*1+1,5,31)-(DATE(LEFT('Planning Parameters'!$A$1,4)*1,6,1))+1)),0)</f>
        <v>220.94917808219182</v>
      </c>
      <c r="I21" s="149">
        <f>MAX(ROUND(H21/$H$4,2),0)</f>
        <v>279.68</v>
      </c>
      <c r="J21" s="153" t="s">
        <v>23</v>
      </c>
      <c r="K21" s="33"/>
      <c r="L21" s="144"/>
      <c r="M21" s="145"/>
      <c r="N21" s="146"/>
    </row>
    <row r="22" spans="1:14" ht="15.75">
      <c r="A22" s="147" t="s">
        <v>19</v>
      </c>
      <c r="B22" s="148"/>
      <c r="C22" s="148"/>
      <c r="D22" s="148"/>
      <c r="E22" s="149">
        <f>$E$20</f>
        <v>769.9</v>
      </c>
      <c r="F22" s="150">
        <v>106346.40000000001</v>
      </c>
      <c r="G22" s="150">
        <f t="shared" si="3"/>
        <v>134615.69620253166</v>
      </c>
      <c r="H22" s="149">
        <f>MAX(($D$20-F22)/((DATE(LEFT('Planning Parameters'!$A$1,4)*1+1,5,31)-(DATE(LEFT('Planning Parameters'!$A$1,4)*1,6,1))+1)),0)</f>
        <v>316.85917808219176</v>
      </c>
      <c r="I22" s="149">
        <f>MAX(ROUND(H22/$H$4,2),0)</f>
        <v>401.09</v>
      </c>
      <c r="J22" s="153" t="s">
        <v>19</v>
      </c>
      <c r="K22" s="33"/>
      <c r="L22" s="144"/>
      <c r="M22" s="145"/>
      <c r="N22" s="146"/>
    </row>
    <row r="23" spans="1:14" ht="16.5" thickBot="1">
      <c r="A23" s="154" t="s">
        <v>15</v>
      </c>
      <c r="B23" s="155"/>
      <c r="C23" s="155"/>
      <c r="D23" s="155"/>
      <c r="E23" s="156">
        <f>$E$20</f>
        <v>769.9</v>
      </c>
      <c r="F23" s="157">
        <f>_xlfn.PERCENTILE.INC(F21:F22,0.67)</f>
        <v>129801.1905</v>
      </c>
      <c r="G23" s="157">
        <f>_xlfn.PERCENTILE.INC(G21:G22,0.67)</f>
        <v>164305.30443037974</v>
      </c>
      <c r="H23" s="149">
        <f>MAX(($D$20-F23)/((DATE(LEFT('Planning Parameters'!$A$1,4)*1+1,5,31)-(DATE(LEFT('Planning Parameters'!$A$1,4)*1,6,1))+1)),0)</f>
        <v>252.59947808219178</v>
      </c>
      <c r="I23" s="149">
        <f>MAX(ROUND(H23/$H$4,2),0)</f>
        <v>319.75</v>
      </c>
      <c r="J23" s="158" t="s">
        <v>15</v>
      </c>
      <c r="K23" s="33"/>
      <c r="L23" s="144"/>
      <c r="M23" s="145"/>
      <c r="N23" s="146"/>
    </row>
    <row r="24" spans="1:14" ht="15.75">
      <c r="A24" s="137" t="s">
        <v>126</v>
      </c>
      <c r="B24" s="138">
        <v>216000</v>
      </c>
      <c r="C24" s="139">
        <v>1</v>
      </c>
      <c r="D24" s="138">
        <f>B24*C24</f>
        <v>216000</v>
      </c>
      <c r="E24" s="140">
        <f>ROUND(D24/(((DATE(LEFT('Planning Parameters'!$A$1,4)*1+1,5,31)-(DATE(LEFT('Planning Parameters'!$A$1,4)*1,6,1))+1))*$H$4),2)</f>
        <v>749.09</v>
      </c>
      <c r="F24" s="159"/>
      <c r="G24" s="159"/>
      <c r="H24" s="140"/>
      <c r="I24" s="160"/>
      <c r="J24" s="143"/>
      <c r="K24" s="33"/>
      <c r="L24" s="144"/>
      <c r="M24" s="145"/>
      <c r="N24" s="146"/>
    </row>
    <row r="25" spans="1:14" ht="15.75">
      <c r="A25" s="147" t="s">
        <v>78</v>
      </c>
      <c r="B25" s="148" t="s">
        <v>1</v>
      </c>
      <c r="C25" s="148"/>
      <c r="D25" s="148"/>
      <c r="E25" s="149">
        <f>$E$24</f>
        <v>749.09</v>
      </c>
      <c r="F25" s="150">
        <v>89414.05</v>
      </c>
      <c r="G25" s="150">
        <f t="shared" ref="G25:G27" si="4">F25/$H$4</f>
        <v>113182.34177215189</v>
      </c>
      <c r="H25" s="149">
        <f>MAX(($D$24-F25)/((DATE(LEFT('Planning Parameters'!$A$1,4)*1+1,5,31)-(DATE(LEFT('Planning Parameters'!$A$1,4)*1,6,1))+1)),0)</f>
        <v>346.8108219178082</v>
      </c>
      <c r="I25" s="149">
        <f>MAX(ROUND(H25/$H$4,2),0)</f>
        <v>439</v>
      </c>
      <c r="J25" s="151"/>
      <c r="K25" s="33"/>
      <c r="L25" s="144"/>
      <c r="M25" s="145"/>
      <c r="N25" s="146"/>
    </row>
    <row r="26" spans="1:14" ht="15.75">
      <c r="A26" s="147" t="s">
        <v>127</v>
      </c>
      <c r="B26" s="148"/>
      <c r="C26" s="148"/>
      <c r="D26" s="148"/>
      <c r="E26" s="149">
        <f>$E$24</f>
        <v>749.09</v>
      </c>
      <c r="F26" s="150">
        <v>136396.85</v>
      </c>
      <c r="G26" s="150">
        <f t="shared" si="4"/>
        <v>172654.24050632911</v>
      </c>
      <c r="H26" s="149">
        <f>MAX(($D$24-F26)/((DATE(LEFT('Planning Parameters'!$A$1,4)*1+1,5,31)-(DATE(LEFT('Planning Parameters'!$A$1,4)*1,6,1))+1)),0)</f>
        <v>218.0908219178082</v>
      </c>
      <c r="I26" s="149">
        <f t="shared" ref="I26:I27" si="5">MAX(ROUND(H26/$H$4,2),0)</f>
        <v>276.06</v>
      </c>
      <c r="J26" s="151"/>
      <c r="K26" s="33"/>
      <c r="L26" s="144"/>
      <c r="M26" s="145"/>
      <c r="N26" s="146"/>
    </row>
    <row r="27" spans="1:14" ht="15.75">
      <c r="A27" s="147" t="s">
        <v>128</v>
      </c>
      <c r="B27" s="148"/>
      <c r="C27" s="148"/>
      <c r="D27" s="148"/>
      <c r="E27" s="149">
        <f>$E$24</f>
        <v>749.09</v>
      </c>
      <c r="F27" s="150">
        <v>76504</v>
      </c>
      <c r="G27" s="150">
        <f t="shared" si="4"/>
        <v>96840.506329113923</v>
      </c>
      <c r="H27" s="149">
        <f>MAX(($D$24-F27)/((DATE(LEFT('Planning Parameters'!$A$1,4)*1+1,5,31)-(DATE(LEFT('Planning Parameters'!$A$1,4)*1,6,1))+1)),0)</f>
        <v>382.1808219178082</v>
      </c>
      <c r="I27" s="149">
        <f t="shared" si="5"/>
        <v>483.77</v>
      </c>
      <c r="J27" s="153" t="s">
        <v>128</v>
      </c>
      <c r="K27" s="33"/>
      <c r="L27" s="144"/>
      <c r="M27" s="145"/>
      <c r="N27" s="146"/>
    </row>
    <row r="28" spans="1:14" ht="16.5" thickBot="1">
      <c r="A28" s="154" t="s">
        <v>13</v>
      </c>
      <c r="B28" s="155" t="s">
        <v>1</v>
      </c>
      <c r="C28" s="155"/>
      <c r="D28" s="155"/>
      <c r="E28" s="156">
        <f>ROUND(AVERAGE(E13,E14,E15,E16,E17,E18,E21,E22,E25,E26,E27),2)</f>
        <v>756.66</v>
      </c>
      <c r="F28" s="157">
        <f>_xlfn.PERCENTILE.INC((F25:F27,F21:F22,F13:F18),0.67)</f>
        <v>94296.654999999999</v>
      </c>
      <c r="G28" s="157">
        <f>_xlfn.PERCENTILE.INC((G25:G27,G21:G22,G13:G18),0.67)</f>
        <v>119362.85443037974</v>
      </c>
      <c r="H28" s="149">
        <f>MAX(($D$24-F28)/((DATE(LEFT('Planning Parameters'!$A$1,4)*1+1,5,31)-(DATE(LEFT('Planning Parameters'!$A$1,4)*1,6,1))+1)),0)</f>
        <v>333.43382191780825</v>
      </c>
      <c r="I28" s="149">
        <f>MAX(ROUND(H28/$H$4,2),0)</f>
        <v>422.07</v>
      </c>
      <c r="J28" s="158" t="s">
        <v>13</v>
      </c>
      <c r="K28" s="33"/>
      <c r="L28" s="144"/>
      <c r="M28" s="145"/>
      <c r="N28" s="146"/>
    </row>
    <row r="29" spans="1:14" ht="15.75">
      <c r="A29" s="137" t="s">
        <v>129</v>
      </c>
      <c r="B29" s="138">
        <v>215000</v>
      </c>
      <c r="C29" s="139">
        <v>1</v>
      </c>
      <c r="D29" s="138">
        <f>B29*C29</f>
        <v>215000</v>
      </c>
      <c r="E29" s="140">
        <f>ROUND(D29/(((DATE(LEFT('Planning Parameters'!$A$1,4)*1+1,5,31)-(DATE(LEFT('Planning Parameters'!$A$1,4)*1,6,1))+1))*$H$4),2)</f>
        <v>745.62</v>
      </c>
      <c r="F29" s="159"/>
      <c r="G29" s="159"/>
      <c r="H29" s="140"/>
      <c r="I29" s="160"/>
      <c r="J29" s="143"/>
      <c r="K29" s="33"/>
      <c r="L29" s="144"/>
      <c r="M29" s="145"/>
      <c r="N29" s="146"/>
    </row>
    <row r="30" spans="1:14" ht="15.75">
      <c r="A30" s="161" t="s">
        <v>72</v>
      </c>
      <c r="B30" s="148"/>
      <c r="C30" s="148"/>
      <c r="D30" s="148"/>
      <c r="E30" s="149">
        <f t="shared" ref="E30:E38" si="6">$E$29</f>
        <v>745.62</v>
      </c>
      <c r="F30" s="150">
        <v>131980.34999999998</v>
      </c>
      <c r="G30" s="150">
        <f t="shared" ref="G30:G40" si="7">F30/$H$4</f>
        <v>167063.73417721514</v>
      </c>
      <c r="H30" s="149">
        <f>MAX(($D$29-F30)/((DATE(LEFT('Planning Parameters'!$A$1,4)*1+1,5,31)-(DATE(LEFT('Planning Parameters'!$A$1,4)*1,6,1))+1)),0)</f>
        <v>227.45109589041101</v>
      </c>
      <c r="I30" s="149">
        <f>MAX(ROUND(H30/$H$4,2),0)</f>
        <v>287.91000000000003</v>
      </c>
      <c r="J30" s="151"/>
      <c r="K30" s="33"/>
      <c r="L30" s="144"/>
      <c r="M30" s="145"/>
      <c r="N30" s="146"/>
    </row>
    <row r="31" spans="1:14" ht="15.75">
      <c r="A31" s="161" t="s">
        <v>73</v>
      </c>
      <c r="B31" s="148"/>
      <c r="C31" s="148"/>
      <c r="D31" s="148"/>
      <c r="E31" s="149">
        <f t="shared" si="6"/>
        <v>745.62</v>
      </c>
      <c r="F31" s="150">
        <v>144810.1</v>
      </c>
      <c r="G31" s="150">
        <f t="shared" si="7"/>
        <v>183303.92405063292</v>
      </c>
      <c r="H31" s="149">
        <f>MAX(($D$29-F31)/((DATE(LEFT('Planning Parameters'!$A$1,4)*1+1,5,31)-(DATE(LEFT('Planning Parameters'!$A$1,4)*1,6,1))+1)),0)</f>
        <v>192.30109589041095</v>
      </c>
      <c r="I31" s="149">
        <f t="shared" ref="I31:I37" si="8">MAX(ROUND(H31/$H$4,2),0)</f>
        <v>243.42</v>
      </c>
      <c r="J31" s="151"/>
      <c r="K31" s="33"/>
      <c r="L31" s="144"/>
      <c r="M31" s="145"/>
      <c r="N31" s="146"/>
    </row>
    <row r="32" spans="1:14" ht="15.75">
      <c r="A32" s="147" t="s">
        <v>20</v>
      </c>
      <c r="B32" s="148" t="s">
        <v>1</v>
      </c>
      <c r="C32" s="148"/>
      <c r="D32" s="148"/>
      <c r="E32" s="149">
        <f t="shared" si="6"/>
        <v>745.62</v>
      </c>
      <c r="F32" s="150">
        <v>125837.4</v>
      </c>
      <c r="G32" s="150">
        <f t="shared" si="7"/>
        <v>159287.84810126582</v>
      </c>
      <c r="H32" s="149">
        <f>MAX(($D$29-F32)/((DATE(LEFT('Planning Parameters'!$A$1,4)*1+1,5,31)-(DATE(LEFT('Planning Parameters'!$A$1,4)*1,6,1))+1)),0)</f>
        <v>244.28109589041097</v>
      </c>
      <c r="I32" s="149">
        <f t="shared" si="8"/>
        <v>309.22000000000003</v>
      </c>
      <c r="J32" s="153" t="s">
        <v>130</v>
      </c>
      <c r="K32" s="33"/>
      <c r="L32" s="144"/>
      <c r="M32" s="145"/>
      <c r="N32" s="146"/>
    </row>
    <row r="33" spans="1:16" ht="15.75">
      <c r="A33" s="147" t="s">
        <v>25</v>
      </c>
      <c r="B33" s="148"/>
      <c r="C33" s="148"/>
      <c r="D33" s="148"/>
      <c r="E33" s="149">
        <f t="shared" si="6"/>
        <v>745.62</v>
      </c>
      <c r="F33" s="150">
        <v>135283.6</v>
      </c>
      <c r="G33" s="150">
        <f t="shared" si="7"/>
        <v>171245.06329113923</v>
      </c>
      <c r="H33" s="149">
        <f>MAX(($D$29-F33)/((DATE(LEFT('Planning Parameters'!$A$1,4)*1+1,5,31)-(DATE(LEFT('Planning Parameters'!$A$1,4)*1,6,1))+1)),0)</f>
        <v>218.40109589041094</v>
      </c>
      <c r="I33" s="149">
        <f t="shared" si="8"/>
        <v>276.45999999999998</v>
      </c>
      <c r="J33" s="152" t="s">
        <v>25</v>
      </c>
      <c r="K33" s="33"/>
      <c r="L33" s="144"/>
      <c r="M33" s="145"/>
      <c r="N33" s="145"/>
      <c r="O33" s="33"/>
      <c r="P33" s="33"/>
    </row>
    <row r="34" spans="1:16" ht="15.75">
      <c r="A34" s="147" t="s">
        <v>26</v>
      </c>
      <c r="B34" s="148"/>
      <c r="C34" s="148"/>
      <c r="D34" s="148"/>
      <c r="E34" s="149">
        <f t="shared" si="6"/>
        <v>745.62</v>
      </c>
      <c r="F34" s="150">
        <v>128490.95</v>
      </c>
      <c r="G34" s="150">
        <f t="shared" si="7"/>
        <v>162646.77215189871</v>
      </c>
      <c r="H34" s="149">
        <f>MAX(($D$29-F34)/((DATE(LEFT('Planning Parameters'!$A$1,4)*1+1,5,31)-(DATE(LEFT('Planning Parameters'!$A$1,4)*1,6,1))+1)),0)</f>
        <v>237.01109589041096</v>
      </c>
      <c r="I34" s="149">
        <f t="shared" si="8"/>
        <v>300.01</v>
      </c>
      <c r="J34" s="152" t="s">
        <v>26</v>
      </c>
      <c r="K34" s="33"/>
      <c r="L34" s="33"/>
      <c r="O34" s="33"/>
      <c r="P34" s="33"/>
    </row>
    <row r="35" spans="1:16" ht="15.75">
      <c r="A35" s="147" t="s">
        <v>75</v>
      </c>
      <c r="B35" s="148"/>
      <c r="C35" s="148"/>
      <c r="D35" s="148"/>
      <c r="E35" s="149">
        <f t="shared" si="6"/>
        <v>745.62</v>
      </c>
      <c r="F35" s="150">
        <v>104003.1</v>
      </c>
      <c r="G35" s="150">
        <f t="shared" si="7"/>
        <v>131649.49367088609</v>
      </c>
      <c r="H35" s="149">
        <f>MAX(($D$29-F35)/((DATE(LEFT('Planning Parameters'!$A$1,4)*1+1,5,31)-(DATE(LEFT('Planning Parameters'!$A$1,4)*1,6,1))+1)),0)</f>
        <v>304.10109589041093</v>
      </c>
      <c r="I35" s="149">
        <f t="shared" si="8"/>
        <v>384.94</v>
      </c>
      <c r="J35" s="151"/>
      <c r="K35" s="33"/>
      <c r="L35" s="33"/>
      <c r="O35" s="33"/>
      <c r="P35" s="33"/>
    </row>
    <row r="36" spans="1:16" ht="15.75">
      <c r="A36" s="147" t="s">
        <v>27</v>
      </c>
      <c r="B36" s="148"/>
      <c r="C36" s="148"/>
      <c r="D36" s="148"/>
      <c r="E36" s="149">
        <f t="shared" si="6"/>
        <v>745.62</v>
      </c>
      <c r="F36" s="150">
        <v>165669.85</v>
      </c>
      <c r="G36" s="150">
        <f t="shared" si="7"/>
        <v>209708.67088607594</v>
      </c>
      <c r="H36" s="149">
        <f>MAX(($D$29-F36)/((DATE(LEFT('Planning Parameters'!$A$1,4)*1+1,5,31)-(DATE(LEFT('Planning Parameters'!$A$1,4)*1,6,1))+1)),0)</f>
        <v>135.15109589041094</v>
      </c>
      <c r="I36" s="149">
        <f>MAX(ROUND(H36/$H$4,2),0)</f>
        <v>171.08</v>
      </c>
      <c r="J36" s="152" t="s">
        <v>27</v>
      </c>
      <c r="K36" s="33"/>
      <c r="L36" s="33"/>
      <c r="O36" s="33"/>
      <c r="P36" s="33"/>
    </row>
    <row r="37" spans="1:16" ht="15.75">
      <c r="A37" s="147" t="s">
        <v>77</v>
      </c>
      <c r="B37" s="148"/>
      <c r="C37" s="148"/>
      <c r="D37" s="148"/>
      <c r="E37" s="149">
        <f t="shared" si="6"/>
        <v>745.62</v>
      </c>
      <c r="F37" s="150">
        <v>142174.79999999999</v>
      </c>
      <c r="G37" s="150">
        <f t="shared" si="7"/>
        <v>179968.10126582277</v>
      </c>
      <c r="H37" s="149">
        <f>MAX(($D$29-F37)/((DATE(LEFT('Planning Parameters'!$A$1,4)*1+1,5,31)-(DATE(LEFT('Planning Parameters'!$A$1,4)*1,6,1))+1)),0)</f>
        <v>199.521095890411</v>
      </c>
      <c r="I37" s="149">
        <f t="shared" si="8"/>
        <v>252.56</v>
      </c>
      <c r="J37" s="151"/>
      <c r="K37" s="33"/>
      <c r="L37" s="33"/>
      <c r="O37" s="33"/>
      <c r="P37" s="33"/>
    </row>
    <row r="38" spans="1:16" ht="16.5" thickBot="1">
      <c r="A38" s="147" t="s">
        <v>79</v>
      </c>
      <c r="B38" s="148"/>
      <c r="C38" s="148"/>
      <c r="D38" s="148"/>
      <c r="E38" s="149">
        <f t="shared" si="6"/>
        <v>745.62</v>
      </c>
      <c r="F38" s="150">
        <v>120490.15000000001</v>
      </c>
      <c r="G38" s="150">
        <f t="shared" si="7"/>
        <v>152519.17721518988</v>
      </c>
      <c r="H38" s="149">
        <f>MAX(($D$29-F38)/((DATE(LEFT('Planning Parameters'!$A$1,4)*1+1,5,31)-(DATE(LEFT('Planning Parameters'!$A$1,4)*1,6,1))+1)),0)</f>
        <v>258.93109589041092</v>
      </c>
      <c r="I38" s="149">
        <f>MAX(ROUND(H38/$H$4,2),0)</f>
        <v>327.76</v>
      </c>
      <c r="J38" s="151"/>
      <c r="K38" s="33"/>
      <c r="L38" s="33"/>
      <c r="O38" s="33"/>
      <c r="P38" s="33"/>
    </row>
    <row r="39" spans="1:16" ht="15.75">
      <c r="A39" s="137" t="s">
        <v>131</v>
      </c>
      <c r="B39" s="138">
        <v>248000</v>
      </c>
      <c r="C39" s="139" t="s">
        <v>30</v>
      </c>
      <c r="D39" s="138">
        <f>B39</f>
        <v>248000</v>
      </c>
      <c r="E39" s="140">
        <f>ROUND(D39/(((DATE(LEFT('Planning Parameters'!$A$1,4)*1+1,5,31)-(DATE(LEFT('Planning Parameters'!$A$1,4)*1,6,1))+1))*$H$4),2)</f>
        <v>860.07</v>
      </c>
      <c r="F39" s="159"/>
      <c r="G39" s="159"/>
      <c r="H39" s="140"/>
      <c r="I39" s="160"/>
      <c r="J39" s="143"/>
      <c r="K39" s="33"/>
      <c r="L39" s="33"/>
      <c r="O39" s="33"/>
      <c r="P39" s="33"/>
    </row>
    <row r="40" spans="1:16" ht="16.5" thickBot="1">
      <c r="A40" s="162" t="s">
        <v>22</v>
      </c>
      <c r="B40" s="163"/>
      <c r="C40" s="163"/>
      <c r="D40" s="163"/>
      <c r="E40" s="164">
        <f>E39</f>
        <v>860.07</v>
      </c>
      <c r="F40" s="165">
        <v>81657.8</v>
      </c>
      <c r="G40" s="150">
        <f t="shared" si="7"/>
        <v>103364.30379746835</v>
      </c>
      <c r="H40" s="149">
        <f>MAX(($D$39-F40)/((DATE(LEFT('Planning Parameters'!$A$1,4)*1+1,5,31)-(DATE(LEFT('Planning Parameters'!$A$1,4)*1,6,1))+1)),0)</f>
        <v>455.73205479452059</v>
      </c>
      <c r="I40" s="149">
        <f>MAX(ROUND(H40/$H$4,2),0)</f>
        <v>576.88</v>
      </c>
      <c r="J40" s="152" t="s">
        <v>22</v>
      </c>
      <c r="K40" s="33"/>
      <c r="L40" s="33"/>
      <c r="O40" s="33"/>
      <c r="P40" s="33"/>
    </row>
    <row r="41" spans="1:16" ht="16.5" thickBot="1">
      <c r="A41" s="166" t="s">
        <v>2</v>
      </c>
      <c r="B41" s="167">
        <f>AVERAGE(B12,B20,B24,B29,B39)</f>
        <v>223800</v>
      </c>
      <c r="C41" s="167"/>
      <c r="D41" s="167">
        <f>AVERAGE(D12,D20,D24,D29,D39)</f>
        <v>223800</v>
      </c>
      <c r="E41" s="168">
        <f>ROUND(D41/(((DATE(LEFT('Planning Parameters'!$A$1,4)*1+1,5,31)-(DATE(LEFT('Planning Parameters'!$A$1,4)*1,6,1))+1))*$H$4),2)</f>
        <v>776.14</v>
      </c>
      <c r="F41" s="169">
        <f>_xlfn.PERCENTILE.INC((F40,F30:F38,F25:F27,F21:F22,F13:F18),0.67)</f>
        <v>129886.70999999999</v>
      </c>
      <c r="G41" s="169">
        <f>_xlfn.PERCENTILE.INC((G40,G30:G38,G25:G27,G21:G22,G13:G18),0.67)</f>
        <v>164413.55696202529</v>
      </c>
      <c r="H41" s="168">
        <f>MAX(($D$41-F41)/((DATE(LEFT('Planning Parameters'!$A$1,4)*1+1,5,31)-(DATE(LEFT('Planning Parameters'!$A$1,4)*1,6,1))+1)),0)</f>
        <v>257.29668493150689</v>
      </c>
      <c r="I41" s="168">
        <f>MAX(ROUND(H41/$H$4,2),0)</f>
        <v>325.69</v>
      </c>
      <c r="J41" s="170" t="s">
        <v>2</v>
      </c>
      <c r="K41" s="33"/>
      <c r="L41" s="33"/>
      <c r="O41" s="33"/>
      <c r="P41" s="33"/>
    </row>
    <row r="42" spans="1:16">
      <c r="A42" s="171" t="s">
        <v>1</v>
      </c>
      <c r="B42" s="172"/>
      <c r="C42" s="172"/>
      <c r="D42" s="172"/>
      <c r="E42" s="172"/>
      <c r="F42" s="173"/>
      <c r="G42" s="172"/>
      <c r="H42" s="172"/>
      <c r="I42" s="172"/>
      <c r="J42" s="172"/>
      <c r="K42" s="172"/>
    </row>
    <row r="43" spans="1:16">
      <c r="E43" s="130"/>
      <c r="F43" s="130"/>
      <c r="H43" s="33"/>
    </row>
    <row r="44" spans="1:16" ht="15.75" thickBot="1">
      <c r="A44" t="s">
        <v>132</v>
      </c>
    </row>
    <row r="45" spans="1:16" ht="15.75" thickBot="1">
      <c r="A45" s="242" t="s">
        <v>133</v>
      </c>
      <c r="B45" s="243"/>
      <c r="C45" s="243"/>
      <c r="D45" s="243"/>
      <c r="E45" s="243"/>
      <c r="F45" s="243"/>
      <c r="G45" s="243"/>
      <c r="H45" s="243"/>
      <c r="I45" s="243"/>
      <c r="J45" s="244"/>
    </row>
  </sheetData>
  <mergeCells count="9">
    <mergeCell ref="A8:H8"/>
    <mergeCell ref="A9:H9"/>
    <mergeCell ref="A45:J45"/>
    <mergeCell ref="A2:H2"/>
    <mergeCell ref="A3:H3"/>
    <mergeCell ref="A4:G4"/>
    <mergeCell ref="A5:H5"/>
    <mergeCell ref="A6:H6"/>
    <mergeCell ref="A7: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E052-5C78-4B5A-85AE-2EA98553175C}">
  <sheetPr codeName="Sheet5"/>
  <dimension ref="A1:C17"/>
  <sheetViews>
    <sheetView workbookViewId="0"/>
  </sheetViews>
  <sheetFormatPr defaultRowHeight="15"/>
  <cols>
    <col min="1" max="1" width="12.85546875" customWidth="1"/>
    <col min="2" max="2" width="100.85546875" customWidth="1"/>
    <col min="3" max="3" width="15.85546875" customWidth="1"/>
  </cols>
  <sheetData>
    <row r="1" spans="1:3" ht="18.75" thickBot="1">
      <c r="A1" s="177"/>
      <c r="B1" s="178" t="s">
        <v>168</v>
      </c>
      <c r="C1" s="179"/>
    </row>
    <row r="2" spans="1:3" ht="32.25" thickBot="1">
      <c r="A2" s="180" t="s">
        <v>169</v>
      </c>
      <c r="B2" s="181" t="s">
        <v>170</v>
      </c>
      <c r="C2" s="182" t="s">
        <v>171</v>
      </c>
    </row>
    <row r="3" spans="1:3" ht="27" thickBot="1">
      <c r="A3" s="183" t="s">
        <v>172</v>
      </c>
      <c r="B3" s="184" t="s">
        <v>173</v>
      </c>
      <c r="C3" s="185" t="s">
        <v>174</v>
      </c>
    </row>
    <row r="4" spans="1:3" ht="27" thickBot="1">
      <c r="A4" s="183" t="s">
        <v>175</v>
      </c>
      <c r="B4" s="184" t="s">
        <v>176</v>
      </c>
      <c r="C4" s="185" t="s">
        <v>174</v>
      </c>
    </row>
    <row r="5" spans="1:3" ht="39.75" thickBot="1">
      <c r="A5" s="183" t="s">
        <v>177</v>
      </c>
      <c r="B5" s="184" t="s">
        <v>178</v>
      </c>
      <c r="C5" s="185" t="s">
        <v>174</v>
      </c>
    </row>
    <row r="6" spans="1:3" ht="27" thickBot="1">
      <c r="A6" s="183" t="s">
        <v>179</v>
      </c>
      <c r="B6" s="184" t="s">
        <v>180</v>
      </c>
      <c r="C6" s="185" t="s">
        <v>174</v>
      </c>
    </row>
    <row r="7" spans="1:3" ht="15.75" thickBot="1">
      <c r="A7" s="183" t="s">
        <v>181</v>
      </c>
      <c r="B7" s="184" t="s">
        <v>182</v>
      </c>
      <c r="C7" s="185" t="s">
        <v>174</v>
      </c>
    </row>
    <row r="8" spans="1:3" ht="27" thickBot="1">
      <c r="A8" s="186" t="s">
        <v>183</v>
      </c>
      <c r="B8" s="187" t="s">
        <v>184</v>
      </c>
      <c r="C8" s="188" t="s">
        <v>174</v>
      </c>
    </row>
    <row r="9" spans="1:3" ht="15.75" thickBot="1">
      <c r="A9" s="183" t="s">
        <v>185</v>
      </c>
      <c r="B9" s="184" t="s">
        <v>186</v>
      </c>
      <c r="C9" s="185" t="s">
        <v>174</v>
      </c>
    </row>
    <row r="10" spans="1:3" ht="15.75" thickBot="1">
      <c r="A10" s="186" t="s">
        <v>187</v>
      </c>
      <c r="B10" s="187" t="s">
        <v>188</v>
      </c>
      <c r="C10" s="188" t="s">
        <v>174</v>
      </c>
    </row>
    <row r="11" spans="1:3" ht="15.75" thickBot="1">
      <c r="A11" s="183" t="s">
        <v>189</v>
      </c>
      <c r="B11" s="184" t="s">
        <v>190</v>
      </c>
      <c r="C11" s="185" t="s">
        <v>174</v>
      </c>
    </row>
    <row r="12" spans="1:3" ht="15.75" thickBot="1">
      <c r="A12" s="186" t="s">
        <v>191</v>
      </c>
      <c r="B12" s="187" t="s">
        <v>192</v>
      </c>
      <c r="C12" s="188" t="s">
        <v>174</v>
      </c>
    </row>
    <row r="13" spans="1:3" ht="15.75" thickBot="1">
      <c r="A13" s="189" t="s">
        <v>193</v>
      </c>
      <c r="B13" s="190" t="s">
        <v>194</v>
      </c>
      <c r="C13" s="191" t="s">
        <v>28</v>
      </c>
    </row>
    <row r="14" spans="1:3" ht="15.75" thickBot="1"/>
    <row r="15" spans="1:3" ht="18.75" thickBot="1">
      <c r="A15" s="246" t="s">
        <v>195</v>
      </c>
      <c r="B15" s="247"/>
      <c r="C15" s="248"/>
    </row>
    <row r="16" spans="1:3" ht="30.75" thickBot="1">
      <c r="A16" s="192" t="s">
        <v>196</v>
      </c>
      <c r="B16" s="193" t="s">
        <v>170</v>
      </c>
      <c r="C16" s="194" t="s">
        <v>171</v>
      </c>
    </row>
    <row r="17" spans="1:3" ht="15.75" thickBot="1">
      <c r="A17" s="195" t="s">
        <v>197</v>
      </c>
      <c r="B17" s="196"/>
      <c r="C17" s="197"/>
    </row>
  </sheetData>
  <mergeCells count="1">
    <mergeCell ref="A15:C1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Planning Parameters</vt:lpstr>
      <vt:lpstr>Net CONE</vt:lpstr>
      <vt:lpstr>Key Transmission Upgrades</vt:lpstr>
    </vt:vector>
  </TitlesOfParts>
  <Company>PJM Interconnection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Bachus, Tim D</dc:creator>
  <cp:lastModifiedBy>Bachus, Tim D</cp:lastModifiedBy>
  <dcterms:created xsi:type="dcterms:W3CDTF">2026-03-18T18:02:15Z</dcterms:created>
  <dcterms:modified xsi:type="dcterms:W3CDTF">2026-07-27T13:17:50Z</dcterms:modified>
</cp:coreProperties>
</file>